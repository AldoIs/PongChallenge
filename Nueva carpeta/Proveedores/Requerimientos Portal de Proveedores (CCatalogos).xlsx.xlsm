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oveedores\"/>
    </mc:Choice>
  </mc:AlternateContent>
  <xr:revisionPtr revIDLastSave="0" documentId="8_{31360188-6B38-4D9F-8F92-6366638D9617}" xr6:coauthVersionLast="47" xr6:coauthVersionMax="47" xr10:uidLastSave="{00000000-0000-0000-0000-000000000000}"/>
  <bookViews>
    <workbookView xWindow="28680" yWindow="-120" windowWidth="29040" windowHeight="15840" xr2:uid="{47BD7D62-CA42-4EE6-A4BC-FFC779729CED}"/>
  </bookViews>
  <sheets>
    <sheet name="SIBAF PROVEEDOR NACIONAL" sheetId="1" r:id="rId1"/>
    <sheet name="Hoja1" sheetId="6" state="hidden" r:id="rId2"/>
    <sheet name="SIBAF PROVEEDOR EXTRANJERO" sheetId="2" state="hidden" r:id="rId3"/>
    <sheet name="ORACLE PROVEEDORES" sheetId="3" r:id="rId4"/>
    <sheet name="CAT ORACLE" sheetId="5" r:id="rId5"/>
    <sheet name="Empresa" sheetId="12" r:id="rId6"/>
    <sheet name="Tipo de Moneda" sheetId="13" r:id="rId7"/>
    <sheet name="5-CATALOGO" sheetId="7" r:id="rId8"/>
    <sheet name="Tipo de Personalidad" sheetId="8" r:id="rId9"/>
    <sheet name="Impuesto Recurrente" sheetId="9" r:id="rId10"/>
    <sheet name="BANCOS NACIONALES" sheetId="10" r:id="rId11"/>
    <sheet name="Metodos Pago" sheetId="11" r:id="rId12"/>
    <sheet name="Tipo de tercero" sheetId="15" r:id="rId13"/>
    <sheet name="Tipo de operacion" sheetId="16" r:id="rId14"/>
    <sheet name="CONCEPTO ISR_DEDUCCION" sheetId="17" r:id="rId15"/>
    <sheet name="DECLARACION_ANUAL_DEDUCCION" sheetId="18" r:id="rId16"/>
    <sheet name="PREGUNTAS REPSE" sheetId="4" state="hidden" r:id="rId17"/>
  </sheets>
  <definedNames>
    <definedName name="_xlnm._FilterDatabase" localSheetId="7" hidden="1">'5-CATALOGO'!$A$1:$A$263</definedName>
    <definedName name="_xlnm._FilterDatabase" localSheetId="4" hidden="1">'CAT ORACLE'!$F$5:$J$5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4" i="1" l="1"/>
  <c r="G48" i="1"/>
  <c r="V37" i="1"/>
  <c r="V38" i="1"/>
  <c r="V39" i="1"/>
  <c r="V40" i="1"/>
  <c r="V41" i="1"/>
  <c r="V36" i="1"/>
  <c r="C48" i="1" s="1" a="1"/>
  <c r="C48" i="1" s="1"/>
  <c r="B48" i="1" s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<sst xmlns="http://schemas.openxmlformats.org/spreadsheetml/2006/main" count="1844" uniqueCount="874">
  <si>
    <t>PORTAL SIBAF</t>
  </si>
  <si>
    <t>Proveedor</t>
  </si>
  <si>
    <t>Status Perfil del Proveedor</t>
  </si>
  <si>
    <t>RFC:</t>
  </si>
  <si>
    <t>RFC</t>
  </si>
  <si>
    <t>TIPO DE PERSONA</t>
  </si>
  <si>
    <t>PERSONA FISICA</t>
  </si>
  <si>
    <t>PERSONA MORAL</t>
  </si>
  <si>
    <t>TIPO DE PERSONALIDAD FISCAL</t>
  </si>
  <si>
    <t>606 ARRENDAMIENTO</t>
  </si>
  <si>
    <t>605 SUELDOS Y SALARIOS E INGRESOS ASIMILADOS A SALARIOS</t>
  </si>
  <si>
    <t>601 GENERAL DE LEY PERSONAS MORALES</t>
  </si>
  <si>
    <t>603 PERSONAS MORALES CON FINES NO LUCRATIVOS</t>
  </si>
  <si>
    <t>607 RÉGIMEN DE ENAJENACIÓN O ADQUISICIÓN DE BIENES</t>
  </si>
  <si>
    <t>610 RESIDENTES EN EL EXTRANJERO SIN ESTABLECIMIENTO PERMANENTE EN MÉXICO</t>
  </si>
  <si>
    <t>GRUPO DE RETENCION DE IMPUESTOS</t>
  </si>
  <si>
    <t>608 DEMÁS INGRESOS</t>
  </si>
  <si>
    <t>620 SOCIEDADES COOPERATIVAS DE PRODUCCIÓN QUE OPTAN POR DIFERIR SUS INGRESOS</t>
  </si>
  <si>
    <t>622 ACTIVIDADES AGRÍCOLAS, GANADERAS, SILVÍCOLAS Y PESQUERAS</t>
  </si>
  <si>
    <t>611 INGRESOS POR DIVIDENDOS (SOCIOS Y ACCIONISTAS)</t>
  </si>
  <si>
    <t>623 OPCIONAL PARA GRUPOS DE SOCIEDADES</t>
  </si>
  <si>
    <t>612 PERSONAS FÍSICAS CON ACTIVIDADES EMPRESARIALES Y PROFESIONALES</t>
  </si>
  <si>
    <t>624 COORDINADOS</t>
  </si>
  <si>
    <t>614 INGRESOS POR INTERESES</t>
  </si>
  <si>
    <t>626 RÉGIMEN SIMPLIFICADO DE CONFIANZA</t>
  </si>
  <si>
    <t>615 RÉGIMEN DE LOS INGRESOS POR OBTENCIÓN DE PREMIOS</t>
  </si>
  <si>
    <t>616 SIN OBLIGACIONES FISCALES</t>
  </si>
  <si>
    <t>621 INCORPORACIÓN FISCAL</t>
  </si>
  <si>
    <t>625 RÉGIMEN DE LAS ACTIVIDADES EMPRESARIALES CON INGRESOS A TRAVÉS DE PLATAFORMAS TECNOLÓGICAS</t>
  </si>
  <si>
    <t>1. ¿La empresa a la que representa trabaja o trabajó en régimen de Outsourcing o Insourcing?</t>
  </si>
  <si>
    <t>2. ¿Su empresa realiza servicios especializados y para ello pone a disposición sus trabajadores en las empresas del Grupo BAF ?</t>
  </si>
  <si>
    <t>3. ¿Qué servicios especializados proporciona?</t>
  </si>
  <si>
    <t xml:space="preserve">4. Si ha respondido "Sí" a la pregunta 1, ¿la empresa a la que representa ya cuenta con su Registro de Proveedores de Servicios Especializados u Obras Especializadas (REPSE) ante la STPS?         </t>
  </si>
  <si>
    <t>5. Indicar el número de registro</t>
  </si>
  <si>
    <t>6.- Indicar fecha de registro</t>
  </si>
  <si>
    <t>Enviar correo al proveedor.</t>
  </si>
  <si>
    <t>¿Aplica Retención por esta Operación?</t>
  </si>
  <si>
    <t>Tasa de Retención:</t>
  </si>
  <si>
    <t>¿Aplico los beneficios de algún tratado celebrado por México para evitar la doble tributación?</t>
  </si>
  <si>
    <t>SI</t>
  </si>
  <si>
    <t>RET FLETES (IVA 4%)</t>
  </si>
  <si>
    <t>NO</t>
  </si>
  <si>
    <t>RET ISR ARRENDAMIENTO (10%)</t>
  </si>
  <si>
    <t>RET ISR HONORARIOS (10%)</t>
  </si>
  <si>
    <t>RET ISR INTERESES</t>
  </si>
  <si>
    <t>RET IVA ARRENDAMIENTO (5.3333%)</t>
  </si>
  <si>
    <t>RET IVA ARRENDAMIENTO (10.6666%)</t>
  </si>
  <si>
    <t>RET ISR EXTRANJEROS</t>
  </si>
  <si>
    <t>RET IVA HONORARIOS (5.3333%)</t>
  </si>
  <si>
    <t>RET IVA HONORARIOS (10.6666%)</t>
  </si>
  <si>
    <t>RET IVA SUBROGACION (3%)</t>
  </si>
  <si>
    <t>RET IVA SUBROGACION (6%)</t>
  </si>
  <si>
    <t>PORTAL DE PROVEEDORES ORACLE</t>
  </si>
  <si>
    <t>PERFIL</t>
  </si>
  <si>
    <t>GENERAL</t>
  </si>
  <si>
    <t>* Proveedor</t>
  </si>
  <si>
    <t>Relación Comercial</t>
  </si>
  <si>
    <t>Tipo de Organización Fiscal</t>
  </si>
  <si>
    <t>Tipo de Proveedor</t>
  </si>
  <si>
    <t>INFORMACION ADICIONAL</t>
  </si>
  <si>
    <t>Tipo de Tercero</t>
  </si>
  <si>
    <t>Tipo de Operación</t>
  </si>
  <si>
    <t>Concepto ISR Deducción</t>
  </si>
  <si>
    <t>Declaración Anual Deducciones</t>
  </si>
  <si>
    <t>DETALLES DE PERFIL</t>
  </si>
  <si>
    <t>Impuesto de Transacción</t>
  </si>
  <si>
    <t>Controles y Valores por defecto</t>
  </si>
  <si>
    <t>Codigo de Clasificación de Impuestos</t>
  </si>
  <si>
    <t>Registros Fiscales</t>
  </si>
  <si>
    <t>País</t>
  </si>
  <si>
    <t>Número de Registro</t>
  </si>
  <si>
    <t>Impuesto sobre los Ingresos</t>
  </si>
  <si>
    <t>País del Contribuyente</t>
  </si>
  <si>
    <t>ID del Contribuyente</t>
  </si>
  <si>
    <t>Grupo de Retención de Impuestos</t>
  </si>
  <si>
    <t>DIRECCIONES</t>
  </si>
  <si>
    <t>*Nombre de Dirección</t>
  </si>
  <si>
    <t>*País</t>
  </si>
  <si>
    <t>*Línea de dirección 1</t>
  </si>
  <si>
    <t>Línea de dirección 2</t>
  </si>
  <si>
    <t>Vecindad/Colonia</t>
  </si>
  <si>
    <t>Municipio/Pueblo</t>
  </si>
  <si>
    <t>*Codigo Postal</t>
  </si>
  <si>
    <t>*Ciudad</t>
  </si>
  <si>
    <t>*Estado</t>
  </si>
  <si>
    <t>*Objetivo de dirección</t>
  </si>
  <si>
    <t>Telefono</t>
  </si>
  <si>
    <t>Fax</t>
  </si>
  <si>
    <t>Correo electronico</t>
  </si>
  <si>
    <t>SITIOS</t>
  </si>
  <si>
    <t>*Unidad de Negocio de Compras</t>
  </si>
  <si>
    <t>*Sitio</t>
  </si>
  <si>
    <t>Facturación</t>
  </si>
  <si>
    <t>Moneda de Factura</t>
  </si>
  <si>
    <t>Moneda de Pago</t>
  </si>
  <si>
    <t>Pagos</t>
  </si>
  <si>
    <t>* Métodos de Pago</t>
  </si>
  <si>
    <t>Metodo de Pago</t>
  </si>
  <si>
    <t>Cuentas Bancarias</t>
  </si>
  <si>
    <t>Número de Cuenta</t>
  </si>
  <si>
    <t>Nombre de Banco</t>
  </si>
  <si>
    <t>Sucursal</t>
  </si>
  <si>
    <t>Referencia de Cuenta Secundaria</t>
  </si>
  <si>
    <t>Asignaciones de Sitios</t>
  </si>
  <si>
    <t>*Unidad de Negocio de Cliente</t>
  </si>
  <si>
    <t>Unidad de Negocio de Facturación</t>
  </si>
  <si>
    <t>Ubicación de Envio</t>
  </si>
  <si>
    <t>Distribución de Pasivo</t>
  </si>
  <si>
    <t>Distribución de Adelantos</t>
  </si>
  <si>
    <t>CONTACTOS</t>
  </si>
  <si>
    <t>*Nombre</t>
  </si>
  <si>
    <t>Segundo Nombre</t>
  </si>
  <si>
    <t>*Apellidos</t>
  </si>
  <si>
    <t>Cargo</t>
  </si>
  <si>
    <t>Telefono Movil</t>
  </si>
  <si>
    <t>Correo Electronico</t>
  </si>
  <si>
    <t>CUESTIONARIO SERVICIOS ESPECIALIZADOS</t>
  </si>
  <si>
    <r>
      <t>1. ¿La empresa a la que representa trabaja o trabajó en régimen de Outsourcing o Insourcing?</t>
    </r>
    <r>
      <rPr>
        <sz val="11"/>
        <color rgb="FF000000"/>
        <rFont val="Calibri"/>
        <family val="2"/>
        <scheme val="minor"/>
      </rPr>
      <t xml:space="preserve">   Si/No.</t>
    </r>
  </si>
  <si>
    <t>RET FLETES</t>
  </si>
  <si>
    <t>RET ISR ARRENDAMIENTO</t>
  </si>
  <si>
    <t>RET ISR HONORARIOS</t>
  </si>
  <si>
    <t>Si/No</t>
  </si>
  <si>
    <t>RET IVA ARRENDAMIENTO</t>
  </si>
  <si>
    <t>RET IVA ARRENDAMIENTO 2</t>
  </si>
  <si>
    <t>ACTIVIDADES BURSÁTILES, CAMBIARIAS Y DE INVERSIÓN FINANCIERA</t>
  </si>
  <si>
    <t>RET IVA ARRENDAMIENTO 4</t>
  </si>
  <si>
    <t>ACTIVIDADES LEGISLATIVAS, GUBERNAMENTALES Y DE IMPARTICIÓN DE JUSTICIA</t>
  </si>
  <si>
    <t>RET IVA ARRENDAMIENTO 3</t>
  </si>
  <si>
    <t>AGRICULTURA</t>
  </si>
  <si>
    <t>RET IVA ARRENDAMIENTO 2R</t>
  </si>
  <si>
    <t>APROVECHAMIENTO FORESTAL</t>
  </si>
  <si>
    <t>RET IVA ARRENDAMIENTO FRONT</t>
  </si>
  <si>
    <t>ASOCIACIONES Y ORGANIZACIONES</t>
  </si>
  <si>
    <t>RET IVA ARRENDAMIENTO FRONT 3</t>
  </si>
  <si>
    <t>AUTOTRANSPORTE DE CARGA</t>
  </si>
  <si>
    <t>RET IVA ARRENDAMIENTO FRONT 4R</t>
  </si>
  <si>
    <t>BANCA CENTRAL</t>
  </si>
  <si>
    <t>RET IVA HONORARIOS</t>
  </si>
  <si>
    <t>COMERCIO AL POR MAYOR DE ABARROTES, ALIMENTOS, BEBIDAS, HIELO Y TABACO</t>
  </si>
  <si>
    <t>RET IVA HONORARIOS 2</t>
  </si>
  <si>
    <t>COMERCIO AL POR MAYOR DE CAMIONES Y DE PARTES Y REFACCIONES NUEVAS PARA AUTOMÓVILES,      CAMIONETAS Y CAMIONES</t>
  </si>
  <si>
    <t>RET IVA HONORARIOS 4</t>
  </si>
  <si>
    <t>COMERCIO AL POR MAYOR DE MAQUINARIA, EQUIPO Y MOBILIARIO PARA ACTIVIDADES AGROPECUARIAS, INDUSTRIALES, DE SERVICIOS Y COMERCIALES, Y DE OTRA MAQUINARIA Y EQUIPO DE USO GENERAL</t>
  </si>
  <si>
    <t>RET IVA HONORARIOS 3</t>
  </si>
  <si>
    <t>COMERCIO AL POR MAYOR DE MATERIAS PRIMAS AGROPECUARIAS Y FORESTALES, PARA LA INDUSTRIA, Y MATERIALES DE DESECHO</t>
  </si>
  <si>
    <t>RET IVA HONORARIOS 2R</t>
  </si>
  <si>
    <t>COMERCIO AL POR MAYOR DE PRODUCTOS FARMACÉUTICOS, DE PERFUMERÍA, ARTÍCULOS PARA EL ESPARCIMIENTO, ELECTRODOMÉSTICOS MENORES Y APARATOS DE LÍNEA BLANCA</t>
  </si>
  <si>
    <t>RET IVA HONORARIOS FRONT</t>
  </si>
  <si>
    <t>COMERCIO AL POR MAYOR DE PRODUCTOS TEXTILES Y CALZADO</t>
  </si>
  <si>
    <t>RET IVA HONORARIOS FRONT 3</t>
  </si>
  <si>
    <t>COMERCIO AL POR MENOR DE ABARROTES, ALIMENTOS, BEBIDAS, HIELO Y TABACO</t>
  </si>
  <si>
    <t>RET IVA HONORARIOS FRONT 4R</t>
  </si>
  <si>
    <t>COMERCIO AL POR MENOR DE ARTÍCULOS DE FERRETERÍA, TLAPALERÍA Y VIDRIOS</t>
  </si>
  <si>
    <t>RET IVA SUBROGACION</t>
  </si>
  <si>
    <t>COMERCIO AL POR MENOR DE ARTÍCULOS DE PAPELERÍA, PARA EL ESPARCIMIENTO Y OTROS ARTÍCULOS DE USO PERSONAL</t>
  </si>
  <si>
    <t>RET IVA SUBROGACION FRONT</t>
  </si>
  <si>
    <t>COMERCIO AL POR MENOR DE ARTÍCULOS PARA EL CUIDADO DE LA SALUD</t>
  </si>
  <si>
    <t>COMERCIO AL POR MENOR DE ENSERES DOMÉSTICOS, COMPUTADORAS, ARTÍCULOS PARA LA DECORACIÓN DE INTERIORES Y ARTÍCULOS USADOS</t>
  </si>
  <si>
    <t>COMERCIO AL POR MENOR DE PRODUCTOS TEXTILES, BISUTERÍA, ACCESORIOS DE VESTIR Y CALZADO</t>
  </si>
  <si>
    <t>COMERCIO AL POR MENOR DE VEHÍCULOS DE MOTOR, REFACCIONES, COMBUSTIBLES Y LUBRICANTES</t>
  </si>
  <si>
    <t>COMERCIO AL POR MENOR EN TIENDAS DE AUTOSERVICIO Y DEPARTAMENTALES</t>
  </si>
  <si>
    <t>COMERCIO AL POR MENOR EXCLUSIVAMENTE A TRAVÉS DE INTERNET, Y CATÁLOGOS IMPRESOS, TELEVISIÓN Y SIMILARES</t>
  </si>
  <si>
    <t>COMPAÑÍAS DE SEGUROS, FIANZAS, Y ADMINISTRACIÓN DE FONDOS PARA EL RETIRO</t>
  </si>
  <si>
    <t>CONSTRUCCIÓN DE OBRAS DE INGENIERÍA CIVIL</t>
  </si>
  <si>
    <t>CORPORATIVOS</t>
  </si>
  <si>
    <t>CRÍA Y EXPLOTACIÓN DE ANIMALES</t>
  </si>
  <si>
    <t>CURTIDO Y ACABADO DE CUERO Y PIEL, Y FABRICACIÓN DE PRODUCTOS DE CUERO, PIEL Y MATERIALES SUCEDÁNEOS</t>
  </si>
  <si>
    <t>EDICIÓN DE PERIÓDICOS, REVISTAS, LIBROS, SOFTWARE Y OTROS MATERIALES, Y EDICIÓN DE ESTAS PUBLICACIONES INTEGRADA CON LA IMPRESIÓN</t>
  </si>
  <si>
    <t>EDIFICACIÓN</t>
  </si>
  <si>
    <t>EXTRACCIÓN DE PETRÓLEO Y GAS</t>
  </si>
  <si>
    <t>FABRICACIÓN DE ACCESORIOS, APARATOS ELÉCTRICOS Y EQUIPO DE GENERACIÓN DE ENERGÍA ELÉCTRICA</t>
  </si>
  <si>
    <t>FABRICACIÓN DE EQUIPO DE COMPUTACIÓN, COMUNICACIÓN, MEDICIÓN Y DE OTROS EQUIPOS,               COMPONENTES Y ACCESORIOS ELECTRÓNICOS</t>
  </si>
  <si>
    <t>FABRICACIÓN DE EQUIPO DE TRANSPORTE</t>
  </si>
  <si>
    <t>FABRICACIÓN DE INSUMOS TEXTILES Y ACABADO DE TEXTILES</t>
  </si>
  <si>
    <t>FABRICACIÓN DE MAQUINARIA Y EQUIPO</t>
  </si>
  <si>
    <t>FABRICACIÓN DE MUEBLES, COLCHONES Y PERSIANAS</t>
  </si>
  <si>
    <t>FABRICACIÓN DE PRENDAS DE VESTIR</t>
  </si>
  <si>
    <t>FABRICACIÓN DE PRODUCTOS A BASE DE MINERALES NO METÁLICOS</t>
  </si>
  <si>
    <t>FABRICACIÓN DE PRODUCTOS DERIVADOS DEL PETRÓLEO Y DEL CARBÓN</t>
  </si>
  <si>
    <t>FABRICACIÓN DE PRODUCTOS METÁLICOS</t>
  </si>
  <si>
    <t>FABRICACIÓN DE PRODUCTOS TEXTILES, EXCEPTO PRENDAS DE VESTIR</t>
  </si>
  <si>
    <t>GENERACIÓN, TRANSMISIÓN, DISTRIBUCIÓN Y COMERCIALIZACIÓN DE ENERGÍA ELÉCTRICA, SUMINISTRO DE AGUA Y DE GAS NATURAL POR DUCTOS AL CONSUMIDOR FINAL</t>
  </si>
  <si>
    <t>HOGARES CON EMPLEADOS DOMÉSTICOS</t>
  </si>
  <si>
    <t>HOSPITALES</t>
  </si>
  <si>
    <t>IMPRESIÓN E INDUSTRIAS CONEXAS</t>
  </si>
  <si>
    <t>INDUSTRIA ALIMENTARIA</t>
  </si>
  <si>
    <t>INDUSTRIA DE LA MADERA</t>
  </si>
  <si>
    <t>INDUSTRIA DE LAS BEBIDAS Y DEL TABACO</t>
  </si>
  <si>
    <t>INDUSTRIA DEL PAPEL</t>
  </si>
  <si>
    <t>INDUSTRIA DEL PLÁSTICO Y DEL HULE</t>
  </si>
  <si>
    <t>INDUSTRIA FÍLMICA Y DEL VIDEO, E INDUSTRIA DEL SONIDO</t>
  </si>
  <si>
    <t>INDUSTRIA QUÍMICA</t>
  </si>
  <si>
    <t>INDUSTRIAS METÁLICAS BÁSICAS</t>
  </si>
  <si>
    <t>INSTITUCIONES DE INTERMEDIACIÓN CREDITICIA Y FINANCIERA NO BURSÁTIL</t>
  </si>
  <si>
    <t>INTERMEDIACIÓN DE COMERCIO AL POR MAYOR</t>
  </si>
  <si>
    <t>LIMPIEZA</t>
  </si>
  <si>
    <t>MANEJO DE RESIDUOS Y SERVICIOS DE REMEDIACIÓN</t>
  </si>
  <si>
    <t>MINERÍA DE MINERALES METÁLICOS Y NO METÁLICOS, EXCEPTO PETRÓLEO Y GAS</t>
  </si>
  <si>
    <t>MUSEOS, SITIOS HISTÓRICOS, ZOOLÓGICOS Y SIMILARES</t>
  </si>
  <si>
    <t>ORGANISMOS INTERNACIONALES Y EXTRATERRITORIALES</t>
  </si>
  <si>
    <t>OTRAS INDUSTRIAS MANUFACTURERAS</t>
  </si>
  <si>
    <t>OTROS SERVICIOS DE ASISTENCIA SOCIAL</t>
  </si>
  <si>
    <t>OTROS SERVICIOS DE INFORMACIÓN</t>
  </si>
  <si>
    <t>PESCA, CAZA Y CAPTURA</t>
  </si>
  <si>
    <t>PROCESAMIENTO ELECTRÓNICO DE INFORMACIÓN, HOSPEDAJE Y OTROS SERVICIOS RELACIONADOS</t>
  </si>
  <si>
    <t>PROTECCIÓN Y SEGURIDAD</t>
  </si>
  <si>
    <t>RADIO Y TELEVISIÓN</t>
  </si>
  <si>
    <t>RESIDENCIAS DE ASISTENCIA SOCIAL Y PARA EL CUIDADO DE LA SALUD</t>
  </si>
  <si>
    <t>SERVICIOS ARTÍSTICOS, CULTURALES Y DEPORTIVOS, Y OTROS SERVICIOS RELACIONADOS</t>
  </si>
  <si>
    <t>SERVICIOS DE ALMACENAMIENTO</t>
  </si>
  <si>
    <t>SERVICIOS DE ALOJAMIENTO TEMPORAL</t>
  </si>
  <si>
    <t>SERVICIOS DE ALQUILER DE BIENES MUEBLES</t>
  </si>
  <si>
    <t>SERVICIOS DE ALQUILER DE MARCAS REGISTRADAS, PATENTES Y FRANQUICIAS</t>
  </si>
  <si>
    <t>SERVICIOS DE APOYO A LOS NEGOCIOS</t>
  </si>
  <si>
    <t>SERVICIOS DE ENTRETENIMIENTO EN INSTALACIONES RECREATIVAS Y OTROS SERVICIOS RECREATIVOS</t>
  </si>
  <si>
    <t>SERVICIOS DE MANTENIMIENTO</t>
  </si>
  <si>
    <t>SERVICIOS DE MENSAJERÍA Y PAQUETERÍA</t>
  </si>
  <si>
    <t>SERVICIOS DE PREPARACIÓN DE ALIMENTOS Y BEBIDAS</t>
  </si>
  <si>
    <t>SERVICIOS DE REPARACIÓN Y MANTENIMIENTO</t>
  </si>
  <si>
    <t>SERVICIOS EDUCATIVOS</t>
  </si>
  <si>
    <t>SERVICIOS INMOBILIARIOS</t>
  </si>
  <si>
    <t>SERVICIOS MÉDICOS DE CONSULTA EXTERNA Y SERVICIOS RELACIONADOS</t>
  </si>
  <si>
    <t>SERVICIOS PERSONALES</t>
  </si>
  <si>
    <t>SERVICIOS POSTALES</t>
  </si>
  <si>
    <t>SERVICIOS PROFESIONALES, CIENTÍFICOS Y TÉCNICOS</t>
  </si>
  <si>
    <t>SERVICIOS RELACIONADOS CON EL TRANSPORTE</t>
  </si>
  <si>
    <t>SERVICIOS RELACIONADOS CON LA MINERÍA</t>
  </si>
  <si>
    <t>SERVICIOS RELACIONADOS CON LAS ACTIVIDADES AGROPECUARIAS Y FORESTALES</t>
  </si>
  <si>
    <t>SOCIEDADES DE INVERSIÓN ESPECIALIZADAS EN FONDOS PARA EL RETIRO Y FONDOS DE INVERSIÓN</t>
  </si>
  <si>
    <t>TELECOMUNICACIONES</t>
  </si>
  <si>
    <t>TRABAJOS ESPECIALIZADOS PARA LA CONSTRUCCIÓN</t>
  </si>
  <si>
    <t>TRANSPORTE AÉREO</t>
  </si>
  <si>
    <t>TRANSPORTE POR AGUA</t>
  </si>
  <si>
    <t>TRANSPORTE POR DUCTOS</t>
  </si>
  <si>
    <t>TRANSPORTE POR FERROCARRIL</t>
  </si>
  <si>
    <t>TRANSPORTE TERRESTRE DE PASAJEROS, EXCEPTO POR FERROCARRIL</t>
  </si>
  <si>
    <t>TRANSPORTE TURÍSTICAS</t>
  </si>
  <si>
    <r>
      <t xml:space="preserve">4. Si ha respondido "Sí" a la pregunta 1, ¿la empresa a la que representa ya cuenta con su Registro de Proveedores de Servicios Especializados u Obras Especializadas (REPSE) ante la STPS?                                                                                                                                                         </t>
    </r>
    <r>
      <rPr>
        <sz val="11"/>
        <color rgb="FF000000"/>
        <rFont val="Calibri"/>
        <family val="2"/>
        <scheme val="minor"/>
      </rPr>
      <t>Si/No</t>
    </r>
  </si>
  <si>
    <t>00000</t>
  </si>
  <si>
    <t>vigencia 3 años</t>
  </si>
  <si>
    <t>Empleados</t>
  </si>
  <si>
    <t>NA</t>
  </si>
  <si>
    <t>Proveedores</t>
  </si>
  <si>
    <t xml:space="preserve">Productos </t>
  </si>
  <si>
    <t>Servicio</t>
  </si>
  <si>
    <t>Servicios</t>
  </si>
  <si>
    <t>ORACLE</t>
  </si>
  <si>
    <t>SIBAF</t>
  </si>
  <si>
    <t>Tipo Proveedor</t>
  </si>
  <si>
    <t>Secundario</t>
  </si>
  <si>
    <t>Descripción</t>
  </si>
  <si>
    <t xml:space="preserve">TOTAL </t>
  </si>
  <si>
    <t>01</t>
  </si>
  <si>
    <t xml:space="preserve">BAJA AQUA-FARMS SA DE CV </t>
  </si>
  <si>
    <t>02</t>
  </si>
  <si>
    <t xml:space="preserve">MARPESCA SA DE CV </t>
  </si>
  <si>
    <t>03</t>
  </si>
  <si>
    <t xml:space="preserve">ATUN OCEANO PACIFICO SA DE CV </t>
  </si>
  <si>
    <t>04</t>
  </si>
  <si>
    <t xml:space="preserve">ADMINISTRADORA PESQUERA DEL NOROESTE SA DE CV </t>
  </si>
  <si>
    <t>05</t>
  </si>
  <si>
    <t xml:space="preserve">TUNAMAX SA DE CV </t>
  </si>
  <si>
    <t>06</t>
  </si>
  <si>
    <t xml:space="preserve">SERVICIOS ADMINISTRATIVOS BAF SRL DE CV </t>
  </si>
  <si>
    <t>BAF</t>
  </si>
  <si>
    <t>MARP</t>
  </si>
  <si>
    <t>AOP</t>
  </si>
  <si>
    <t>APN</t>
  </si>
  <si>
    <t>TMX</t>
  </si>
  <si>
    <t>SABAF</t>
  </si>
  <si>
    <t>MXN, USD</t>
  </si>
  <si>
    <t>Sitio</t>
  </si>
  <si>
    <t>BU</t>
  </si>
  <si>
    <t>Monedas</t>
  </si>
  <si>
    <t>MXN (   )          USD (    )</t>
  </si>
  <si>
    <t>MXN ( x )          USD (    )</t>
  </si>
  <si>
    <t>Código de tipo impositivo</t>
  </si>
  <si>
    <t>%</t>
  </si>
  <si>
    <t>Código de estado fiscal</t>
  </si>
  <si>
    <t>Impuesto</t>
  </si>
  <si>
    <t>STANDARD</t>
  </si>
  <si>
    <t>RETENCION MX</t>
  </si>
  <si>
    <t>México</t>
  </si>
  <si>
    <t>RET ISR RESICO</t>
  </si>
  <si>
    <t>RETENCION</t>
  </si>
  <si>
    <t>CORPORATION</t>
  </si>
  <si>
    <t>INDIVIDUAL</t>
  </si>
  <si>
    <t>Tipo de organización fiscal NACIONALES</t>
  </si>
  <si>
    <t>CORPOTACION EXTRANJERA</t>
  </si>
  <si>
    <t>FOREING INDIVIDUAL</t>
  </si>
  <si>
    <t>FOREING CORPORATION</t>
  </si>
  <si>
    <t>ORALCE</t>
  </si>
  <si>
    <t>Transferencia electronica de fondos</t>
  </si>
  <si>
    <t>AP/AR Netting</t>
  </si>
  <si>
    <t>Cheque</t>
  </si>
  <si>
    <t>Cheque de terceros</t>
  </si>
  <si>
    <t>Cheque nominativo</t>
  </si>
  <si>
    <t>Giro</t>
  </si>
  <si>
    <t>Tarjeta de debito</t>
  </si>
  <si>
    <t xml:space="preserve">Efectivo	</t>
  </si>
  <si>
    <t>Electronico</t>
  </si>
  <si>
    <t xml:space="preserve">Tarjeta de credito </t>
  </si>
  <si>
    <t xml:space="preserve">Transferencia electronica de fondos	</t>
  </si>
  <si>
    <t>Check</t>
  </si>
  <si>
    <t xml:space="preserve">Cheque nominativo	</t>
  </si>
  <si>
    <t>Electronic</t>
  </si>
  <si>
    <t xml:space="preserve">Outsourced Check	</t>
  </si>
  <si>
    <t xml:space="preserve">Tarjeta de debito	</t>
  </si>
  <si>
    <t xml:space="preserve">Tarjetas de credito	</t>
  </si>
  <si>
    <t>Wire</t>
  </si>
  <si>
    <t>METODOS DE PAGO</t>
  </si>
  <si>
    <t>Nombre de banco</t>
  </si>
  <si>
    <t>Código de banco</t>
  </si>
  <si>
    <t>AMERICAN EXPRESS</t>
  </si>
  <si>
    <t>103</t>
  </si>
  <si>
    <t>Nacional</t>
  </si>
  <si>
    <t>American Express Bank (México), S.A., Institución de Banca Múltiple</t>
  </si>
  <si>
    <t>BAJIO</t>
  </si>
  <si>
    <t>030</t>
  </si>
  <si>
    <t>Banco del Bajío, S.A., Institución de Banca Múltiple</t>
  </si>
  <si>
    <t>BANAMEX</t>
  </si>
  <si>
    <t>002</t>
  </si>
  <si>
    <t>Banco Nacional de México, S.A., Institución de Banca Múltiple, Grupo Financiero Banamex</t>
  </si>
  <si>
    <t>BANCO AZTECA</t>
  </si>
  <si>
    <t>127</t>
  </si>
  <si>
    <t>Banco Azteca, S.A. Institución de Banca Múltiple.</t>
  </si>
  <si>
    <t>BANCO FAMSA</t>
  </si>
  <si>
    <t>131</t>
  </si>
  <si>
    <t>Banco Ahorro Famsa, S.A., Institución de Banca Múltiple</t>
  </si>
  <si>
    <t>BANCO INBURSA</t>
  </si>
  <si>
    <t>036</t>
  </si>
  <si>
    <t>Banco Inbursa, S.A., Institución de Banca Múltiple, Grupo Financiero Inbursa</t>
  </si>
  <si>
    <t>BANCO MONEX</t>
  </si>
  <si>
    <t>112</t>
  </si>
  <si>
    <t>Banco Monex, S.A., Institución de Banca Múltiple</t>
  </si>
  <si>
    <t>BANCOPPEL</t>
  </si>
  <si>
    <t>137</t>
  </si>
  <si>
    <t>BanCoppel, S.A., Institución de Banca Múltiple</t>
  </si>
  <si>
    <t>BANORTE</t>
  </si>
  <si>
    <t>072</t>
  </si>
  <si>
    <t>Banco Mercantil del Norte, S.A., Institución de Banca Múltiple, Grupo Financiero Banorte</t>
  </si>
  <si>
    <t>BANREGIO</t>
  </si>
  <si>
    <t>058</t>
  </si>
  <si>
    <t>Banco Regional de Monterrey, S.A., Institución de Banca Múltiple, Banregio Grupo Financiero</t>
  </si>
  <si>
    <t>BBVA BANCOMER</t>
  </si>
  <si>
    <t>012</t>
  </si>
  <si>
    <t>BBVA Bancomer, S.A., Institución de Banca Múltiple, Grupo Financiero BBVA Bancomer</t>
  </si>
  <si>
    <t>CIBANCO</t>
  </si>
  <si>
    <t>143</t>
  </si>
  <si>
    <t>CIBanco, S.A.</t>
  </si>
  <si>
    <t>HSBC</t>
  </si>
  <si>
    <t>021</t>
  </si>
  <si>
    <t>HSBC México, S.A., institución De Banca Múltiple, Grupo Financiero HSBC</t>
  </si>
  <si>
    <t>MIFEL</t>
  </si>
  <si>
    <t>042</t>
  </si>
  <si>
    <t>Banca Mifel, S.A., Institución de Banca Múltiple, Grupo Financiero Mifel</t>
  </si>
  <si>
    <t>MONEX</t>
  </si>
  <si>
    <t>SANTANDER</t>
  </si>
  <si>
    <t>014</t>
  </si>
  <si>
    <t>Banco Santander (México), S.A., Institución de Banca Múltiple, Grupo Financiero Santander</t>
  </si>
  <si>
    <t>SCOTIABANK</t>
  </si>
  <si>
    <t>044</t>
  </si>
  <si>
    <t>Scotiabank Inverlat, S.A</t>
  </si>
  <si>
    <t>VECTOR CASA DE BOLSA</t>
  </si>
  <si>
    <t>608</t>
  </si>
  <si>
    <t>Vector Casa de Bolsa, S.A. de C.V</t>
  </si>
  <si>
    <t>AMERICAN EXPRESS US</t>
  </si>
  <si>
    <t>Extranjero</t>
  </si>
  <si>
    <t>Estados Unidos</t>
  </si>
  <si>
    <t>ARION BANK</t>
  </si>
  <si>
    <t>Irlanda</t>
  </si>
  <si>
    <t>BANCO DE CHILE</t>
  </si>
  <si>
    <t>Chile</t>
  </si>
  <si>
    <t>BANCO DE CREDITO DEL PERU</t>
  </si>
  <si>
    <t>Perú</t>
  </si>
  <si>
    <t>BANCO DE CREDITO E INVERSIONES SANTIAGO CHILE</t>
  </si>
  <si>
    <t>BANK OF AMERICA</t>
  </si>
  <si>
    <t>BANK OF CHINA</t>
  </si>
  <si>
    <t>China</t>
  </si>
  <si>
    <t>BANK OF TOKYO MITSUBISH</t>
  </si>
  <si>
    <t>Japón</t>
  </si>
  <si>
    <t>BBVA COMPASS</t>
  </si>
  <si>
    <t>CITY NATIONAL BANK</t>
  </si>
  <si>
    <t>DEUTSCHE BANK TRUST CO.</t>
  </si>
  <si>
    <t>Reino Unido</t>
  </si>
  <si>
    <t>HBL BANK UK</t>
  </si>
  <si>
    <t>Bélgica</t>
  </si>
  <si>
    <t>INTERCAM BANCO</t>
  </si>
  <si>
    <t>ISLANDSBANKI HF</t>
  </si>
  <si>
    <t>Islandia</t>
  </si>
  <si>
    <t>JP MORGAN CHASE</t>
  </si>
  <si>
    <t>MUFG</t>
  </si>
  <si>
    <t>Mizuho Bank, Ltd</t>
  </si>
  <si>
    <t>NAVY FEDERAL CREDIT UNION</t>
  </si>
  <si>
    <t>PNC BANK</t>
  </si>
  <si>
    <t>ROYAL BANK OF CANADA</t>
  </si>
  <si>
    <t>Canadá</t>
  </si>
  <si>
    <t>STERLING NATIONAL BANK</t>
  </si>
  <si>
    <t>US BANK</t>
  </si>
  <si>
    <t>WELLS FARGO BANK</t>
  </si>
  <si>
    <t>bancos</t>
  </si>
  <si>
    <t>PRODUCTOS-SERVICIOS</t>
  </si>
  <si>
    <t>En base a la selección se desprende un catalogo del tipo de producto o servicio.</t>
  </si>
  <si>
    <t>CATALOGO DE PRODUCTOS Y SERVICIOS</t>
  </si>
  <si>
    <t>ACCESORIOS DE COMPUTO</t>
  </si>
  <si>
    <t>ACCESORIOS DE TUBERIA</t>
  </si>
  <si>
    <t>ACCESORIOS EN GENERAL</t>
  </si>
  <si>
    <t>ACCESORIOS Y EQUIPO DE COMPUTO</t>
  </si>
  <si>
    <t>ACCESORIOS Y PARTES</t>
  </si>
  <si>
    <t>ACEITES</t>
  </si>
  <si>
    <t xml:space="preserve">AGUA EMBOTELLADA </t>
  </si>
  <si>
    <t>AGUA PURIFICADA</t>
  </si>
  <si>
    <t>AGUA SUAVIZADA</t>
  </si>
  <si>
    <t>ALARMA DE HUMO</t>
  </si>
  <si>
    <t>ALIMENTOS Y BEBIDAS</t>
  </si>
  <si>
    <t xml:space="preserve">ALMACENAJE DE CONTENEDOR </t>
  </si>
  <si>
    <t>ALQUILER DE VEHICULOS</t>
  </si>
  <si>
    <t>ANCLAS</t>
  </si>
  <si>
    <t>ARTICULOS DE COCINA</t>
  </si>
  <si>
    <t>ASEGURANZAS</t>
  </si>
  <si>
    <t>ASESORIA</t>
  </si>
  <si>
    <t>ASESORIA LEGAL</t>
  </si>
  <si>
    <t>ASESORIA TECNICA</t>
  </si>
  <si>
    <t>ASTILLEROS</t>
  </si>
  <si>
    <t>AVALUOS</t>
  </si>
  <si>
    <t>BALEROS</t>
  </si>
  <si>
    <t xml:space="preserve">BARRAS DE HIELO </t>
  </si>
  <si>
    <t>BOLETO DE AVION</t>
  </si>
  <si>
    <t>BOTAS, ROPA DE TRABAJO</t>
  </si>
  <si>
    <t>BOYAS</t>
  </si>
  <si>
    <t>CABLES ELECTRICOS Y ACCESORIOS</t>
  </si>
  <si>
    <t>CADENAS</t>
  </si>
  <si>
    <t>CAJAS, BOLSAS Y SACOS PARA EMPAQUETADO</t>
  </si>
  <si>
    <t>CAPACITACION</t>
  </si>
  <si>
    <t>CARBON</t>
  </si>
  <si>
    <t>CARGA DE CONTENEDOR</t>
  </si>
  <si>
    <t>CARGA Y DESCARGA DE  MERCANCIAS</t>
  </si>
  <si>
    <t>CHALECOS SALVAVIDAS</t>
  </si>
  <si>
    <t>COMPRA DOLAR AMERICANO</t>
  </si>
  <si>
    <t>CONSUMIBLES DE COCINA</t>
  </si>
  <si>
    <t>CONSUMO DE ALIMENTOS</t>
  </si>
  <si>
    <t>CONTRAPRESTACION FIJA</t>
  </si>
  <si>
    <t xml:space="preserve">CONTROL ELECTRONICO Y DOCUMENTAL DE LA INFORMACION </t>
  </si>
  <si>
    <t>CORREAS PLASTICAS</t>
  </si>
  <si>
    <t>COSECHAS</t>
  </si>
  <si>
    <t>CUBREBOCAS</t>
  </si>
  <si>
    <t>CUCHILLOS</t>
  </si>
  <si>
    <t>CUERDAS NYLON, POLIPROPILENO</t>
  </si>
  <si>
    <t>CUOTA ASOCIACIONES EMPRESARIALES</t>
  </si>
  <si>
    <t>CURSOS PRIMERSOS AUXILIOS</t>
  </si>
  <si>
    <t>CUSTODIA DE PERSONAL</t>
  </si>
  <si>
    <t>DEMORAS CONTENEDORES</t>
  </si>
  <si>
    <t>DERECHO DE POLIZA</t>
  </si>
  <si>
    <t xml:space="preserve">DERECHO DE TRATAMIENTO DE AGUA RESIDUAL </t>
  </si>
  <si>
    <t>DERECHOS</t>
  </si>
  <si>
    <t>DESCARGA DE CONTENEDOR</t>
  </si>
  <si>
    <t>DESECHABLES</t>
  </si>
  <si>
    <t>DESECHOS Y CHATARRA</t>
  </si>
  <si>
    <t>DESINFECTANTES</t>
  </si>
  <si>
    <t xml:space="preserve">DIESEL AUTOMOTRIZ </t>
  </si>
  <si>
    <t>DIESEL INDUSTRIAL</t>
  </si>
  <si>
    <t>DIESEL MARINO</t>
  </si>
  <si>
    <t>DIGITALIZACION</t>
  </si>
  <si>
    <t>DISEÑO</t>
  </si>
  <si>
    <t>DISOLVENTES Y DILUYENTES</t>
  </si>
  <si>
    <t>DISPOSICION DE DESECHOS</t>
  </si>
  <si>
    <t>ELABORACION DE ESTUDIOS TECNICOS</t>
  </si>
  <si>
    <t>ELABORACION DE MANUALES</t>
  </si>
  <si>
    <t>ELABORACION DE PLANOS</t>
  </si>
  <si>
    <t>ENERGIA ELECTRICA</t>
  </si>
  <si>
    <t>ENVASES</t>
  </si>
  <si>
    <t>EQUIPO DE COMPUTO</t>
  </si>
  <si>
    <t>EQUIPO DE ELECTROFUSION</t>
  </si>
  <si>
    <t>EQUIPO DE LIMPIEZA</t>
  </si>
  <si>
    <t>EQUIPO DE OFICINA</t>
  </si>
  <si>
    <t>ESPUMAS</t>
  </si>
  <si>
    <t>ESTACIONAMIENTO</t>
  </si>
  <si>
    <t xml:space="preserve">ESTUFAS </t>
  </si>
  <si>
    <t>ETIQUETAS</t>
  </si>
  <si>
    <t>EVALUACION DE IMPACTO AMBIENTAL</t>
  </si>
  <si>
    <t>EXTENSIONES CORRALES</t>
  </si>
  <si>
    <t>EXTINGUIDORES Y RECARGAS</t>
  </si>
  <si>
    <t>FABRICACION DE MUEBLES</t>
  </si>
  <si>
    <t>FILETE Y EMPAQUE DE ATUN</t>
  </si>
  <si>
    <t>FILTROS</t>
  </si>
  <si>
    <t>FINANCIAMIENTO TRANSPORTES</t>
  </si>
  <si>
    <t>FLETAMENTO MARITIMO</t>
  </si>
  <si>
    <t>FLETE DE MUELLE</t>
  </si>
  <si>
    <t>FLETE TERRESTRE DE CARGA</t>
  </si>
  <si>
    <t>FUMIGACIONES</t>
  </si>
  <si>
    <t>GALVANIZADO</t>
  </si>
  <si>
    <t>GAS AVION</t>
  </si>
  <si>
    <t>GAS LICUADO DE PETROLEO</t>
  </si>
  <si>
    <t xml:space="preserve">GASOLINA </t>
  </si>
  <si>
    <t>GASTOS ADMINISTRATIVOS</t>
  </si>
  <si>
    <t>GASTOS DE EXPEDICIÓN DIVERSOS</t>
  </si>
  <si>
    <t>GASTOS DE EXPEDICIÓN TRANSPORTES</t>
  </si>
  <si>
    <t>GASTOS EN DESTINO</t>
  </si>
  <si>
    <t>GEL ICE</t>
  </si>
  <si>
    <t>GUANTES DE PROTECCION</t>
  </si>
  <si>
    <t>HELICES</t>
  </si>
  <si>
    <t>HERRAMIENTAS MECANICAS</t>
  </si>
  <si>
    <t>HIDROLAVADORA</t>
  </si>
  <si>
    <t>HIELO</t>
  </si>
  <si>
    <t>HONORARIOS</t>
  </si>
  <si>
    <t>HONORARIOS AGENTE ADUANAL</t>
  </si>
  <si>
    <t>HONORARIOS POR SERVICIOS PROFESIONALES.</t>
  </si>
  <si>
    <t>HOSPEDAJE</t>
  </si>
  <si>
    <t>INFLABLES</t>
  </si>
  <si>
    <t>INSPECCIONES</t>
  </si>
  <si>
    <t>JABONES, BLANQUEADORES</t>
  </si>
  <si>
    <t xml:space="preserve">KIT DE ACCESORIOS PARA INSTALACION </t>
  </si>
  <si>
    <t>KIT DE EMPAQUE</t>
  </si>
  <si>
    <t>KIT DE REPARACION DE LLANTAS</t>
  </si>
  <si>
    <t xml:space="preserve">KIT DE SERVICIO </t>
  </si>
  <si>
    <t xml:space="preserve">LAVADORA, SECADORA </t>
  </si>
  <si>
    <t>LAVAMANOS</t>
  </si>
  <si>
    <t>LICENCIAS Y SUSCRIPCIONES</t>
  </si>
  <si>
    <t>LICENCIAS, SOFTWARES</t>
  </si>
  <si>
    <t>LUBRICANTES Y ADHESIVOS LIQUIDOS</t>
  </si>
  <si>
    <t xml:space="preserve">LUCES </t>
  </si>
  <si>
    <t xml:space="preserve">MANGUERAS </t>
  </si>
  <si>
    <t>MANIFESTACION DE VALOR</t>
  </si>
  <si>
    <t>MANIOBRAS</t>
  </si>
  <si>
    <t>MANO DE OBRA</t>
  </si>
  <si>
    <t>MANOMETROS</t>
  </si>
  <si>
    <t>MANTENIMIENTO  Y  REPARACION</t>
  </si>
  <si>
    <t xml:space="preserve">MAQUILA DE SARDINA, </t>
  </si>
  <si>
    <t>MASCARILLAS O ACCESORIOS</t>
  </si>
  <si>
    <t>MATERIALES DE PESCA</t>
  </si>
  <si>
    <t>MATERIALES EN GENERAL</t>
  </si>
  <si>
    <t>MEDICAMENTOS</t>
  </si>
  <si>
    <t>MISCELANEOS</t>
  </si>
  <si>
    <t>MODULO DE CONTROL ELECTRONICO</t>
  </si>
  <si>
    <t>MONITORES Y PANTALLAS DE COMPUTADORA</t>
  </si>
  <si>
    <t>MOTORES DIESEL</t>
  </si>
  <si>
    <t>MOVIMIENTO DE REDES</t>
  </si>
  <si>
    <t>MOVIMIENTOS EN PATIO</t>
  </si>
  <si>
    <t xml:space="preserve">MUELLAJE DE CONTENEDOR </t>
  </si>
  <si>
    <t>NEUMATICOS Y CAMARAS</t>
  </si>
  <si>
    <t>OTROS</t>
  </si>
  <si>
    <t xml:space="preserve">OXIGENO   </t>
  </si>
  <si>
    <t>PALLETS DE MADERA</t>
  </si>
  <si>
    <t xml:space="preserve">PAPEL SANITARIO  </t>
  </si>
  <si>
    <t>PAQUETERIA</t>
  </si>
  <si>
    <t>PARTES INTERNAS DE MOTOR</t>
  </si>
  <si>
    <t>PARTES O ACCESORIOS DE COMPRESORES</t>
  </si>
  <si>
    <t>PARTES O ACCESORIOS PARA CELULAR</t>
  </si>
  <si>
    <t>PASTECAS O PATESCAS</t>
  </si>
  <si>
    <t>PIEDRA PARA AFILAR</t>
  </si>
  <si>
    <t>PINTURA Y ACCESORIOS PARA PINTAR</t>
  </si>
  <si>
    <t>PLACA DE ACERO</t>
  </si>
  <si>
    <t>PREPARACION Y REVISION DE DECLARACIONES FISCALES</t>
  </si>
  <si>
    <t>PRIMAS Y RECARGOS</t>
  </si>
  <si>
    <t>PRODUCTOS PETROS</t>
  </si>
  <si>
    <t>PROPELA</t>
  </si>
  <si>
    <t>RADARES</t>
  </si>
  <si>
    <t xml:space="preserve">REDES </t>
  </si>
  <si>
    <t>REDES DE PESCA Y ACUACULTURA</t>
  </si>
  <si>
    <t>REFACCIONES Y REPARACIONES</t>
  </si>
  <si>
    <t>REGULADOR DE VOLTAJE</t>
  </si>
  <si>
    <t>RENTA</t>
  </si>
  <si>
    <t>RENTA DE CAMARAS TERMICAS</t>
  </si>
  <si>
    <t>RENTA DE EMBARCACION</t>
  </si>
  <si>
    <t>RENTA DE EQUIPO DE COMPUTO</t>
  </si>
  <si>
    <t>RENTA DE FRIGORIFICO</t>
  </si>
  <si>
    <t>RENTA DE GENERADOR</t>
  </si>
  <si>
    <t>RENTA DE INSTALACIONES</t>
  </si>
  <si>
    <t>RENTA DE MAQUINARIA</t>
  </si>
  <si>
    <t>RENTA DE MUELLE</t>
  </si>
  <si>
    <t>RENTA DE NAVE INDUSTRIAL</t>
  </si>
  <si>
    <t>RENTA DE VEHICULOS</t>
  </si>
  <si>
    <t>RENTA FRIO PARA CONSERVACION</t>
  </si>
  <si>
    <t xml:space="preserve">REPARACION DE MAQUINA </t>
  </si>
  <si>
    <t>REPARACION DE MOTORES DIESEL</t>
  </si>
  <si>
    <t>REPARACIONES</t>
  </si>
  <si>
    <t>REPARACIONES Y MANTENIMIENO DE AUTOMOTORES Y CAMIONES</t>
  </si>
  <si>
    <t>REPARACIONES Y MANTENIMIENO DE EMBARCACIONES</t>
  </si>
  <si>
    <t>RETENES</t>
  </si>
  <si>
    <t xml:space="preserve">SALVAVIDAS  </t>
  </si>
  <si>
    <t>SANITIZACION</t>
  </si>
  <si>
    <t>SARDINA</t>
  </si>
  <si>
    <t>SARDINA CONGELADA</t>
  </si>
  <si>
    <t>SARDINA ENTERA FRESCA</t>
  </si>
  <si>
    <t>SARDINA JAPONESA CONGELADA</t>
  </si>
  <si>
    <t>SARDINA MONTERREY CONGELADA</t>
  </si>
  <si>
    <t>SARDINA MONTERREY FRESCA</t>
  </si>
  <si>
    <t>SARDINA PZA</t>
  </si>
  <si>
    <t>SEGURIDAD PORTUARIA</t>
  </si>
  <si>
    <t>SEGURO DE AUTOMOVILES O CAMIONES</t>
  </si>
  <si>
    <t xml:space="preserve">SEÑALIZACION </t>
  </si>
  <si>
    <t>SERVICIO AEREO</t>
  </si>
  <si>
    <t>SERVICIO DE AGENCIAMIENTO DE BUQUES</t>
  </si>
  <si>
    <t>SERVICIO DE ALOJAMIENTO Y ESTANCIA</t>
  </si>
  <si>
    <t>SERVICIO DE APOYO LOGÍSTICO</t>
  </si>
  <si>
    <t>SERVICIO DE AUTOTRANSPORTE</t>
  </si>
  <si>
    <t xml:space="preserve">SERVICIO DE BARRERA CONTENCION </t>
  </si>
  <si>
    <t>SERVICIO DE BUCEO</t>
  </si>
  <si>
    <t>SERVICIO DE CALIBRACION</t>
  </si>
  <si>
    <t xml:space="preserve">SERVICIO DE CAMBIO DE KIT  DE SISTEMA DE EMBREAGE </t>
  </si>
  <si>
    <t>SERVICIO DE CONGELACION DE ATUN</t>
  </si>
  <si>
    <t>SERVICIO DE CONGELACION DE GEL ICE</t>
  </si>
  <si>
    <t>SERVICIO DE CONSERVACION</t>
  </si>
  <si>
    <t xml:space="preserve">SERVICIO DE COPIAS </t>
  </si>
  <si>
    <t>SERVICIO DE DATOS</t>
  </si>
  <si>
    <t>SERVICIO DE DESCARGA</t>
  </si>
  <si>
    <t xml:space="preserve">SERVICIO DE ENTREGA </t>
  </si>
  <si>
    <t>SERVICIO DE ESCANEO DE DOCUMENTOS</t>
  </si>
  <si>
    <t xml:space="preserve">SERVICIO DE ESTADíAS </t>
  </si>
  <si>
    <t>SERVICIO DE FOTOS Y VIDEO</t>
  </si>
  <si>
    <t xml:space="preserve">SERVICIO DE FUMIGACION INTERIOR Y EXTERIOR  </t>
  </si>
  <si>
    <t>SERVICIO DE GRUA</t>
  </si>
  <si>
    <t>SERVICIO DE IMPRESIÓN</t>
  </si>
  <si>
    <t xml:space="preserve">SERVICIO DE INSPECCION </t>
  </si>
  <si>
    <t xml:space="preserve">SERVICIO DE INSTALACION </t>
  </si>
  <si>
    <t>SERVICIO DE LAVANDERIA</t>
  </si>
  <si>
    <t>SERVICIO DE LIMPIEZA</t>
  </si>
  <si>
    <t>SERVICIO DE LIMPIEZA EN GENERAL</t>
  </si>
  <si>
    <t xml:space="preserve">SERVICIO DE MANTENIMIENTO PREVENTIVO </t>
  </si>
  <si>
    <t>SERVICIO DE MANTENIMIENTO Y REPARACION</t>
  </si>
  <si>
    <t>SERVICIO DE MAQUILA</t>
  </si>
  <si>
    <t xml:space="preserve">SERVICIO DE MAQUINADO </t>
  </si>
  <si>
    <t>SERVICIO DE PAQUETERIA</t>
  </si>
  <si>
    <t>SERVICIO DE PEAJE Y CRUCE CARRETERO</t>
  </si>
  <si>
    <t xml:space="preserve">SERVICIO DE PROGRAMACION  </t>
  </si>
  <si>
    <t>SERVICIO DE RECOLECCION</t>
  </si>
  <si>
    <t>SERVICIO DE REMOLQUE</t>
  </si>
  <si>
    <t xml:space="preserve">SERVICIO DE REPARACION </t>
  </si>
  <si>
    <t>SERVICIO DE RESTAURANTE</t>
  </si>
  <si>
    <t xml:space="preserve">SERVICIO DE SANITARIOS  </t>
  </si>
  <si>
    <t>SERVICIO DE SANITIZACION</t>
  </si>
  <si>
    <t>SERVICIO DE SOLDADURA Y RECTIFICAR</t>
  </si>
  <si>
    <t>SERVICIO DE TELECOMUNICACIONES</t>
  </si>
  <si>
    <t xml:space="preserve">SERVICIO DE TRANSPORTE PUBLICO   </t>
  </si>
  <si>
    <t>SERVICIO DE TURISMO NÁUTICO</t>
  </si>
  <si>
    <t>SERVICIO DE VIGILANCIA</t>
  </si>
  <si>
    <t>SERVICIO FLETE</t>
  </si>
  <si>
    <t>SERVICIO MEDICO</t>
  </si>
  <si>
    <t>SERVICIO PROCESO DE ATUN</t>
  </si>
  <si>
    <t>SERVICIO RADIOELECTRICO</t>
  </si>
  <si>
    <t>SERVICIO TECNICO</t>
  </si>
  <si>
    <t xml:space="preserve">SERVICIO TRANSPORTE </t>
  </si>
  <si>
    <t>SERVICIO Y MANTENIMIENTO</t>
  </si>
  <si>
    <t>SERVICIOS AUDIOVISUALES</t>
  </si>
  <si>
    <t>SERVICIOS DE ASESORIA Y CONSULTORIA</t>
  </si>
  <si>
    <t>SERVICIOS DE ATRAQUE</t>
  </si>
  <si>
    <t>SERVICIOS DE AUDITORIA</t>
  </si>
  <si>
    <t>SERVICIOS DE AVIONETA</t>
  </si>
  <si>
    <t>SERVICIOS DE CAFETERÍA</t>
  </si>
  <si>
    <t>SERVICIOS DE CONSULTORIA</t>
  </si>
  <si>
    <t>SERVICIOS DE CONSULTORIA Y GESTION AMBIENTAL</t>
  </si>
  <si>
    <t xml:space="preserve">SERVICIOS DE INSTALACIÓN </t>
  </si>
  <si>
    <t>SERVICIOS DE INTERNET</t>
  </si>
  <si>
    <t>SERVICIOS DE LABORATORIO</t>
  </si>
  <si>
    <t>SERVICIOS DE MANTENIMIENTO Y REPARACION DE AERONAVES</t>
  </si>
  <si>
    <t>SERVICIOS DE MAQUILA</t>
  </si>
  <si>
    <t xml:space="preserve">SERVICIOS DE PROGRAMACION </t>
  </si>
  <si>
    <t xml:space="preserve">SERVICIOS DE REMODELACION </t>
  </si>
  <si>
    <t>SERVICIOS DE SOLDADURA</t>
  </si>
  <si>
    <t>SERVICIOS DE TELECOMUNICACIONES</t>
  </si>
  <si>
    <t>SERVICIOS DE TRANSPORTACION</t>
  </si>
  <si>
    <t>SERVICIOS DE VIDRIOS Y VENTANERIA</t>
  </si>
  <si>
    <t>SERVICIOS DE VIGILANCIA</t>
  </si>
  <si>
    <t>SERVICIOS ELECTROMECANICOS</t>
  </si>
  <si>
    <t>SERVICIOS HELICOPTERO</t>
  </si>
  <si>
    <t>SERVICIOS HIDRAULICOS</t>
  </si>
  <si>
    <t>SERVICIOS MENSUALES</t>
  </si>
  <si>
    <t>SERVICIOS NOTARIALES</t>
  </si>
  <si>
    <t>SERVICIOS POR PROCESOS DE ATUN</t>
  </si>
  <si>
    <t>SERVICIOS POSTALES Y PAQUETERIA</t>
  </si>
  <si>
    <t>SERVICIOS TERMINAL</t>
  </si>
  <si>
    <t>SERVICIOS VARIOS</t>
  </si>
  <si>
    <t>SERVICIOS Y REPARACION DE LLANTAS</t>
  </si>
  <si>
    <t>SISTEMAS DE FRENOS Y COMPONENTES</t>
  </si>
  <si>
    <t>SONARES</t>
  </si>
  <si>
    <t>SUPERVISION DE CALIDAD/CONTROL DE CALIDAD</t>
  </si>
  <si>
    <t xml:space="preserve">TARIFA INTERNACIONAL </t>
  </si>
  <si>
    <t>TELEFONOS MOVILES</t>
  </si>
  <si>
    <t>TELEVISORES</t>
  </si>
  <si>
    <t>TOALLAS DE PAPEL, PAPEL HIGIENICO</t>
  </si>
  <si>
    <t>TRABAJO DE EDICION</t>
  </si>
  <si>
    <t xml:space="preserve">TRABAJOS DE CARPINTERIA </t>
  </si>
  <si>
    <t>TRABAJOS DE CONSTRUCCION</t>
  </si>
  <si>
    <t xml:space="preserve">TRABAJOS DE MANTENIMIENTO </t>
  </si>
  <si>
    <t>TRABAJOS ESPECIALES</t>
  </si>
  <si>
    <t>TRABAJOS REALIZADOS EMBARCACIONES</t>
  </si>
  <si>
    <t>TRADUCCION DE DOCUMENTOS</t>
  </si>
  <si>
    <t>TRAJES DE BUCEO</t>
  </si>
  <si>
    <t>TRANSPORTE DE CARGA</t>
  </si>
  <si>
    <t xml:space="preserve">TUBERIA </t>
  </si>
  <si>
    <t>TUERCAS, TORNILLOS, RONDANAS</t>
  </si>
  <si>
    <t>UNIFORMES</t>
  </si>
  <si>
    <t>VALES</t>
  </si>
  <si>
    <t>VALIDACION ELECTRONICA</t>
  </si>
  <si>
    <t>VALVULAS</t>
  </si>
  <si>
    <t>VARADA Y BOTADURA</t>
  </si>
  <si>
    <t>VENTA DE US DOLLAR</t>
  </si>
  <si>
    <t>VIDRIOS Y ALUMINIOS</t>
  </si>
  <si>
    <t>WINCHE O MALACATE</t>
  </si>
  <si>
    <t>*Una vez seleccionado el tipo o servicio se debe enviar una notificación para su aprobación a CSL.</t>
  </si>
  <si>
    <t>Si el proveedor es REPSE deberá adjuntar la siguiente información</t>
  </si>
  <si>
    <t>* Actualizar catalogo de tasas de retención (Que se llene manual)</t>
  </si>
  <si>
    <t>* Validar información con Sandra Parra</t>
  </si>
  <si>
    <t>* Agregar pregunta de recipe o condicionante en el país para detectar si pertenece a paraiso fiscal</t>
  </si>
  <si>
    <t>EMPRESAS</t>
  </si>
  <si>
    <t>MONEDA</t>
  </si>
  <si>
    <t>Columna1</t>
  </si>
  <si>
    <t>Columna2</t>
  </si>
  <si>
    <t>Columna3</t>
  </si>
  <si>
    <t>Columna4</t>
  </si>
  <si>
    <t>Tipo de Proveedor:</t>
  </si>
  <si>
    <t>SERVICIOS</t>
  </si>
  <si>
    <t>PRODUCTOS</t>
  </si>
  <si>
    <t>SERVICIOS-PRODUCTOS</t>
  </si>
  <si>
    <t>Tipo de Producto o Servicio:</t>
  </si>
  <si>
    <t>Contrato con el prestador de servicios especializados vigente</t>
  </si>
  <si>
    <t>Copia de los comprobantes fiscales de pago de salarios de los trabajadores involucrados en el servicio. (CFDI de nómina)</t>
  </si>
  <si>
    <t>Copia del recibo de pago expedido por institución bancaria por el pago de las retenciones de impuestos efectuadas a los trabajadores involucrados en el servicio.</t>
  </si>
  <si>
    <t>Copia del pago de las cuotas obrero-patronales al IMSS e INFONAVIT de los trabajadores involucrados en el servicio.</t>
  </si>
  <si>
    <t>Copia de la declaración del IVA correspondiente al periodo en que el contratante efectuó el pago de la contraprestación.</t>
  </si>
  <si>
    <t>Copia del acuse de recibo del pago del IVA correspondiente al periodo en que el contratante efectuó el pago de la contraprestación.</t>
  </si>
  <si>
    <t>IMSS: Informativa de Contratos de Servicios u Obras Especializados (ICSOE)</t>
  </si>
  <si>
    <t>ENE-ABR</t>
  </si>
  <si>
    <t>MAY-AGO</t>
  </si>
  <si>
    <t>SEP-DIC</t>
  </si>
  <si>
    <t>INFONAVIT: Servicio Sistema de Información de Subcontratación (SISUB)</t>
  </si>
  <si>
    <t>Validación de CSL</t>
  </si>
  <si>
    <t>MÉTODO DE PAGO</t>
  </si>
  <si>
    <t>MEP731106T8</t>
  </si>
  <si>
    <t>Número de Proveedor*</t>
  </si>
  <si>
    <t>CATALOGO EMPRESA</t>
  </si>
  <si>
    <t>AP IVA 0</t>
  </si>
  <si>
    <t>AP IVA EXENTO</t>
  </si>
  <si>
    <t>AP IVA FRONTERA</t>
  </si>
  <si>
    <t>AP IVA GENERAL</t>
  </si>
  <si>
    <t>AP IVA GENERAL IMPORT</t>
  </si>
  <si>
    <t>IVA Acreditable pagado 0%</t>
  </si>
  <si>
    <t xml:space="preserve">IVA Acreditable pagado 16% </t>
  </si>
  <si>
    <t>IVA Acreditable de importación pagado 16%</t>
  </si>
  <si>
    <t>IVA Acreditable pagado exento 0%</t>
  </si>
  <si>
    <t>IVA Acreditable pagado 8%</t>
  </si>
  <si>
    <t>Valor</t>
  </si>
  <si>
    <t>Activado</t>
  </si>
  <si>
    <t>00</t>
  </si>
  <si>
    <t>Seleccione...</t>
  </si>
  <si>
    <t>true</t>
  </si>
  <si>
    <t>Proveedor Nacional</t>
  </si>
  <si>
    <t>Proveedor Extranjero</t>
  </si>
  <si>
    <t>15</t>
  </si>
  <si>
    <t>Proveedor Global</t>
  </si>
  <si>
    <t>94</t>
  </si>
  <si>
    <t>Accionistas, Socios o Integrantes</t>
  </si>
  <si>
    <t>95</t>
  </si>
  <si>
    <t>Egresos varios</t>
  </si>
  <si>
    <t>Prestación de Servicios Profesionales</t>
  </si>
  <si>
    <t>Arrendamiento de Inmuebles</t>
  </si>
  <si>
    <t>85</t>
  </si>
  <si>
    <t>Otros</t>
  </si>
  <si>
    <t>ACTIVOS FIJOS EXTRANJ</t>
  </si>
  <si>
    <t>ACTIVOS FIJOS IMPORTACION</t>
  </si>
  <si>
    <t>ACTIVOS FIJOS IMPORTACION INTERCO</t>
  </si>
  <si>
    <t>ACTIVOS FIJOS NACIONALES</t>
  </si>
  <si>
    <t>ACTIVOS FIJOS NACIONALES INTERCO</t>
  </si>
  <si>
    <t>AGENCIAMIENTOS</t>
  </si>
  <si>
    <t>ANT ACTIVO FIJOS NACIONES</t>
  </si>
  <si>
    <t>ANT ACTIVOS FIJOS EXTRANJEROS</t>
  </si>
  <si>
    <t>ANT ACTIVOS FIJOS IMPORTACION INTERCO</t>
  </si>
  <si>
    <t>ANT ACTIVOS FIJOS NANCIONALES INTERCO</t>
  </si>
  <si>
    <t>ANT ARRENDAMIENTO BM</t>
  </si>
  <si>
    <t>ANT ARRENDAMIENTO INTERCO</t>
  </si>
  <si>
    <t>ANT ARRENDAMIENTO PF</t>
  </si>
  <si>
    <t>ANT ARRENDAMIENTO PM</t>
  </si>
  <si>
    <t>ANT COMPRAS DE IMPORTACION</t>
  </si>
  <si>
    <t>ANT COMPRAS IMPORTACION INTERCO</t>
  </si>
  <si>
    <t>ANT COMPRAS IMPORTACMAT PRIMA</t>
  </si>
  <si>
    <t>ANT COMPRAS NAC MAT PRIMA BFT</t>
  </si>
  <si>
    <t>ANT COMPRAS NAC MAT PRIMA INTERCO BFT</t>
  </si>
  <si>
    <t>ANT COMPRAS NAC MAT PRIMA INTERCO SARD</t>
  </si>
  <si>
    <t>ANT COMPRAS NAC MAT PRIMA SARD</t>
  </si>
  <si>
    <t>ANT COMUNICACIONES</t>
  </si>
  <si>
    <t>ANT CONSTRUCCIONES EN PROCESO AF</t>
  </si>
  <si>
    <t>ANT GASTOS DE PROCESAMIENTO</t>
  </si>
  <si>
    <t>ANT GASTOS DE VENTA</t>
  </si>
  <si>
    <t>ANT HONORARIOS PF</t>
  </si>
  <si>
    <t>ANT HONORARIOS PM</t>
  </si>
  <si>
    <t>ANT MANTENIMIENTO BM</t>
  </si>
  <si>
    <t>ANT MANTENIMIENTO DE BM</t>
  </si>
  <si>
    <t>ANT MANTENIMIENTO DE CORRALES</t>
  </si>
  <si>
    <t>ANT OTRAS DEDUCCIONES AUTORIZADA EXTRANJ</t>
  </si>
  <si>
    <t>ANT OTRAS DEDUCCIONES AUTORIZADAS</t>
  </si>
  <si>
    <t>ANT OTRAS DEDUCCIONES AUTORIZADAS INTERCO</t>
  </si>
  <si>
    <t>ANT REGALIAS Y ASIST TECNICA</t>
  </si>
  <si>
    <t>ANT REGALIAS Y ASIST TECNICA INTERCO</t>
  </si>
  <si>
    <t>ANT SEGUROS Y FIANZAS</t>
  </si>
  <si>
    <t>ANTCOMPRAS IMPORTAC MATPRIMA INTERCO</t>
  </si>
  <si>
    <t>APROVECHAMIENTOS</t>
  </si>
  <si>
    <t>ARRENDAMIENTO DE BM</t>
  </si>
  <si>
    <t>ARRENDAMIENTO INTERCO</t>
  </si>
  <si>
    <t>ARRENDAMIENTO PF</t>
  </si>
  <si>
    <t>ARRENDAMIENTO PM</t>
  </si>
  <si>
    <t>ARRENDAMIENTO PM- AF</t>
  </si>
  <si>
    <t>AVITUALLAMIENTO PROVISIONES</t>
  </si>
  <si>
    <t>COMBUSTIBLES Y LUBRICANTES</t>
  </si>
  <si>
    <t>COMPRA DE DIVISAS</t>
  </si>
  <si>
    <t>COMPRAS IMPORTAC MATPRIMA</t>
  </si>
  <si>
    <t>COMPRAS IMPORTAC MATPRIMA INTERCO</t>
  </si>
  <si>
    <t>COMPRAS IMPORTACION</t>
  </si>
  <si>
    <t>COMPRAS IMPORTACION INTERCO</t>
  </si>
  <si>
    <t>COMPRAS NAC MATPRIMA BFT</t>
  </si>
  <si>
    <t>COMPRAS NAC MATPRIMA INTERCO BFT</t>
  </si>
  <si>
    <t>COMPRAS NAC MATPRIMA INTERCO SARD</t>
  </si>
  <si>
    <t>COMPRAS NAC MATPRIMA SARDINA</t>
  </si>
  <si>
    <t>COMUNICACIONES</t>
  </si>
  <si>
    <t>CONSTRUCCIONES EN PROCESO AF</t>
  </si>
  <si>
    <t>CONSUMOS EN RESTAURANTES</t>
  </si>
  <si>
    <t>CONSUMOS EN RESTAURANTES-ND</t>
  </si>
  <si>
    <t>CONTRIBUCIONES A CARGO-COMEX</t>
  </si>
  <si>
    <t>CUOTAS DE PEAJE</t>
  </si>
  <si>
    <t>CUOTAS IMSS</t>
  </si>
  <si>
    <t>CUOTAS INFONAVIT</t>
  </si>
  <si>
    <t>CUOTAS SAR</t>
  </si>
  <si>
    <t>DEDUCCION AYUDA ALIMENTARIA TRAB</t>
  </si>
  <si>
    <t>DEDUCCION DE INVERSIONES</t>
  </si>
  <si>
    <t>DONATIVO</t>
  </si>
  <si>
    <t>ESTIMULOS POR CONTRATACIONES</t>
  </si>
  <si>
    <t>FLETES Y ACARREOS AF</t>
  </si>
  <si>
    <t>FLETES Y ACARREOS PF</t>
  </si>
  <si>
    <t>FLETES Y ACARREOS PM</t>
  </si>
  <si>
    <t>GASTOS DE PROCESAMIENTO</t>
  </si>
  <si>
    <t>GASTOS DE VENTA</t>
  </si>
  <si>
    <t>GASTOS JAPON</t>
  </si>
  <si>
    <t>GASTOS PUBLICIDAD</t>
  </si>
  <si>
    <t>HONORARIOS PF</t>
  </si>
  <si>
    <t>HONORARIOS PF - ACTIVOS FIJOS</t>
  </si>
  <si>
    <t>HONORARIOS PM</t>
  </si>
  <si>
    <t>HONORARIOS PM - ACTIVOS FIJOS</t>
  </si>
  <si>
    <t>IMPUESTO ESTATAL</t>
  </si>
  <si>
    <t>INSTALACIONES PARA DISCAPACITADOS</t>
  </si>
  <si>
    <t>INTERESES PAGADOS EXTRANJEROS</t>
  </si>
  <si>
    <t>INTERESES PAGADOS NACIONALES</t>
  </si>
  <si>
    <t>INVERSIONES ENERGIA LIMPIA RENOVABLE</t>
  </si>
  <si>
    <t>ISR IVA COMEX RETENCIONES ND</t>
  </si>
  <si>
    <t>MANTENIMIENTO DE BM</t>
  </si>
  <si>
    <t>MANTENIMIENTO DE CORRALES</t>
  </si>
  <si>
    <t>MONTO DEDUCIBLE NOMINA 47%</t>
  </si>
  <si>
    <t>MONTO DEDUCIBLE NOMINA 53%</t>
  </si>
  <si>
    <t>ND - SIN REQUISITOS FISCALES</t>
  </si>
  <si>
    <t>NO DEDUCIBLES</t>
  </si>
  <si>
    <t>NOMINA EXENTA</t>
  </si>
  <si>
    <t>NOMINA GRAVADA</t>
  </si>
  <si>
    <t>OTRAS DEDUCCIONES AUTORIZADAS</t>
  </si>
  <si>
    <t>OTRAS DEDUCCIONES AUTORIZADAS EXTRANJ</t>
  </si>
  <si>
    <t>OTRAS DEDUCCIONES AUTORIZADAS INTERCO</t>
  </si>
  <si>
    <t>PAGO DE DERECHOS</t>
  </si>
  <si>
    <t>PERDIDA VTA AF</t>
  </si>
  <si>
    <t>REGALIAS Y ASIST TECNICA INTERCO</t>
  </si>
  <si>
    <t>REGALIAS Y ASISTTECNICA</t>
  </si>
  <si>
    <t>SEGUROS Y FIANZAS</t>
  </si>
  <si>
    <t>SERVICIOS Y OTROS</t>
  </si>
  <si>
    <t>SUBCONTRATACION</t>
  </si>
  <si>
    <t>SUBCONTRATACION-AF</t>
  </si>
  <si>
    <t>VIATICOS Y GTOS VIAJE</t>
  </si>
  <si>
    <t>VIATICOS Y GTOS VIAJE-ND</t>
  </si>
  <si>
    <t>Valor Independiente</t>
  </si>
  <si>
    <t>CONSUMOS RESTAURANTES</t>
  </si>
  <si>
    <t>MATERIAS PRIMAS NAC.</t>
  </si>
  <si>
    <t>OTRAS DEDUC AUTORIZADAS</t>
  </si>
  <si>
    <t>USO O GOCE TEMPORAL PF</t>
  </si>
  <si>
    <t>VIATICOS Y GASTOS VIAJE</t>
  </si>
  <si>
    <t>MXN</t>
  </si>
  <si>
    <t>Peso Mexicano</t>
  </si>
  <si>
    <t>USD</t>
  </si>
  <si>
    <t>Dólar americano</t>
  </si>
  <si>
    <t>Moneda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</si>
</sst>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4"/>
      <color theme="1"/>
      <name val="Century Gothic"/>
      <family val="2"/>
    </font>
    <font>
      <sz val="10"/>
      <color theme="1"/>
      <name val="Century Gothic"/>
      <family val="2"/>
    </font>
    <font>
      <sz val="9"/>
      <color theme="1"/>
      <name val="Century Gothic"/>
      <family val="2"/>
    </font>
    <font>
      <sz val="8"/>
      <color theme="1"/>
      <name val="Century Gothic"/>
      <family val="2"/>
    </font>
    <font>
      <b/>
      <sz val="8"/>
      <color theme="1"/>
      <name val="Century Gothic"/>
      <family val="2"/>
    </font>
    <font>
      <sz val="10"/>
      <color theme="1" tint="0.249977111117893"/>
      <name val="Century Gothic"/>
      <family val="2"/>
    </font>
    <font>
      <sz val="9"/>
      <color theme="1" tint="0.249977111117893"/>
      <name val="Century Gothic"/>
      <family val="2"/>
    </font>
    <font>
      <sz val="11"/>
      <color rgb="FFFF0000"/>
      <name val="Calibri"/>
      <family val="2"/>
      <scheme val="minor"/>
    </font>
    <font>
      <b/>
      <sz val="10"/>
      <color theme="1"/>
      <name val="Century Gothic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entury Gothic"/>
      <family val="2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203764"/>
      <name val="Segoe UI"/>
      <family val="2"/>
    </font>
    <font>
      <b/>
      <sz val="10"/>
      <name val="Calibri"/>
      <family val="2"/>
      <scheme val="minor"/>
    </font>
    <font>
      <sz val="9"/>
      <name val="Segoe U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8"/>
      <color rgb="FF367DA2"/>
      <name val="Arial"/>
      <family val="2"/>
    </font>
    <font>
      <sz val="8"/>
      <color theme="1"/>
      <name val="Arial"/>
      <family val="2"/>
    </font>
    <font>
      <b/>
      <sz val="11"/>
      <color rgb="FF000000"/>
      <name val="Calibri"/>
      <family val="2"/>
    </font>
    <font>
      <b/>
      <sz val="9"/>
      <color theme="1" tint="0.249977111117893"/>
      <name val="Century Gothic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entury Gothic"/>
      <family val="2"/>
    </font>
    <font>
      <b/>
      <sz val="9"/>
      <name val="Century Gothic"/>
      <family val="2"/>
    </font>
    <font>
      <sz val="11"/>
      <color theme="2" tint="-0.249977111117893"/>
      <name val="Century Gothic"/>
      <family val="2"/>
    </font>
    <font>
      <b/>
      <sz val="9"/>
      <color theme="2" tint="-0.249977111117893"/>
      <name val="Century Gothic"/>
      <family val="2"/>
    </font>
    <font>
      <b/>
      <sz val="8"/>
      <color theme="0" tint="-0.34998626667073579"/>
      <name val="Century Gothic"/>
      <family val="2"/>
    </font>
    <font>
      <sz val="11"/>
      <color theme="0" tint="-0.34998626667073579"/>
      <name val="Century Gothic"/>
      <family val="2"/>
    </font>
    <font>
      <sz val="11"/>
      <color theme="1"/>
      <name val="Arial"/>
      <family val="2"/>
    </font>
    <font>
      <b/>
      <sz val="11"/>
      <color rgb="FF333333"/>
      <name val="Segoe UI"/>
      <family val="2"/>
    </font>
    <font>
      <b/>
      <sz val="11"/>
      <color theme="1"/>
      <name val="Century Gothic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9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F3FD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36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/>
      <diagonal/>
    </border>
    <border>
      <left/>
      <right/>
      <top style="medium">
        <color theme="6" tint="-0.499984740745262"/>
      </top>
      <bottom/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/>
      <right style="medium">
        <color theme="6" tint="-0.499984740745262"/>
      </right>
      <top/>
      <bottom/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thin">
        <color theme="6" tint="-0.499984740745262"/>
      </left>
      <right/>
      <top/>
      <bottom style="medium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2" borderId="0" xfId="0" applyFont="1" applyFill="1"/>
    <xf numFmtId="0" fontId="6" fillId="2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0" fillId="2" borderId="0" xfId="0" applyFill="1"/>
    <xf numFmtId="0" fontId="8" fillId="2" borderId="0" xfId="0" applyFont="1" applyFill="1" applyAlignment="1">
      <alignment vertical="center"/>
    </xf>
    <xf numFmtId="0" fontId="10" fillId="2" borderId="0" xfId="0" applyFont="1" applyFill="1"/>
    <xf numFmtId="0" fontId="13" fillId="2" borderId="0" xfId="0" applyFont="1" applyFill="1"/>
    <xf numFmtId="0" fontId="11" fillId="2" borderId="0" xfId="0" applyFont="1" applyFill="1"/>
    <xf numFmtId="0" fontId="12" fillId="2" borderId="0" xfId="0" applyFont="1" applyFill="1"/>
    <xf numFmtId="0" fontId="9" fillId="2" borderId="0" xfId="0" applyFont="1" applyFill="1"/>
    <xf numFmtId="0" fontId="6" fillId="2" borderId="0" xfId="0" applyFont="1" applyFill="1" applyAlignment="1">
      <alignment horizontal="right"/>
    </xf>
    <xf numFmtId="0" fontId="7" fillId="2" borderId="0" xfId="0" applyFont="1" applyFill="1" applyAlignment="1">
      <alignment vertical="center"/>
    </xf>
    <xf numFmtId="0" fontId="15" fillId="2" borderId="0" xfId="0" applyFont="1" applyFill="1"/>
    <xf numFmtId="0" fontId="14" fillId="2" borderId="0" xfId="0" applyFont="1" applyFill="1"/>
    <xf numFmtId="0" fontId="16" fillId="2" borderId="0" xfId="0" applyFont="1" applyFill="1"/>
    <xf numFmtId="0" fontId="17" fillId="0" borderId="0" xfId="0" applyFont="1" applyAlignment="1">
      <alignment horizontal="center"/>
    </xf>
    <xf numFmtId="0" fontId="18" fillId="0" borderId="0" xfId="0" applyFont="1"/>
    <xf numFmtId="0" fontId="17" fillId="3" borderId="0" xfId="0" applyFont="1" applyFill="1" applyAlignment="1">
      <alignment horizontal="justify" vertical="center"/>
    </xf>
    <xf numFmtId="0" fontId="17" fillId="0" borderId="0" xfId="0" applyFont="1" applyAlignment="1">
      <alignment horizontal="justify" vertical="center"/>
    </xf>
    <xf numFmtId="0" fontId="17" fillId="3" borderId="0" xfId="0" applyFont="1" applyFill="1" applyAlignment="1">
      <alignment horizontal="left" vertical="center" wrapText="1"/>
    </xf>
    <xf numFmtId="0" fontId="20" fillId="3" borderId="0" xfId="0" applyFont="1" applyFill="1" applyAlignment="1">
      <alignment vertical="center" wrapText="1"/>
    </xf>
    <xf numFmtId="49" fontId="19" fillId="0" borderId="0" xfId="0" applyNumberFormat="1" applyFont="1" applyAlignment="1">
      <alignment vertical="center" wrapText="1"/>
    </xf>
    <xf numFmtId="0" fontId="17" fillId="3" borderId="0" xfId="0" applyFont="1" applyFill="1"/>
    <xf numFmtId="0" fontId="21" fillId="0" borderId="0" xfId="0" applyFont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22" fillId="0" borderId="12" xfId="0" applyFont="1" applyBorder="1" applyAlignment="1">
      <alignment vertical="center"/>
    </xf>
    <xf numFmtId="0" fontId="22" fillId="0" borderId="12" xfId="0" applyFont="1" applyBorder="1" applyAlignment="1">
      <alignment horizontal="right" vertical="center"/>
    </xf>
    <xf numFmtId="0" fontId="22" fillId="4" borderId="12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25" fillId="6" borderId="13" xfId="0" applyFont="1" applyFill="1" applyBorder="1" applyAlignment="1">
      <alignment horizontal="left" vertical="top" wrapText="1"/>
    </xf>
    <xf numFmtId="0" fontId="0" fillId="0" borderId="13" xfId="0" applyBorder="1" applyAlignment="1">
      <alignment vertical="top" wrapText="1"/>
    </xf>
    <xf numFmtId="0" fontId="26" fillId="0" borderId="13" xfId="0" applyFont="1" applyBorder="1" applyAlignment="1">
      <alignment horizontal="left" vertical="top" wrapText="1"/>
    </xf>
    <xf numFmtId="0" fontId="27" fillId="0" borderId="12" xfId="0" applyFont="1" applyBorder="1" applyAlignment="1">
      <alignment vertical="center"/>
    </xf>
    <xf numFmtId="0" fontId="27" fillId="0" borderId="12" xfId="0" applyFont="1" applyBorder="1" applyAlignment="1">
      <alignment horizontal="right" vertical="center"/>
    </xf>
    <xf numFmtId="0" fontId="22" fillId="0" borderId="16" xfId="0" applyFont="1" applyBorder="1" applyAlignment="1">
      <alignment vertical="center"/>
    </xf>
    <xf numFmtId="0" fontId="22" fillId="0" borderId="16" xfId="0" applyFont="1" applyBorder="1" applyAlignment="1">
      <alignment horizontal="right" vertical="center"/>
    </xf>
    <xf numFmtId="0" fontId="5" fillId="2" borderId="18" xfId="0" applyFont="1" applyFill="1" applyBorder="1"/>
    <xf numFmtId="0" fontId="5" fillId="2" borderId="19" xfId="0" applyFont="1" applyFill="1" applyBorder="1"/>
    <xf numFmtId="0" fontId="1" fillId="2" borderId="19" xfId="0" applyFont="1" applyFill="1" applyBorder="1"/>
    <xf numFmtId="0" fontId="28" fillId="5" borderId="19" xfId="0" applyFont="1" applyFill="1" applyBorder="1" applyAlignment="1">
      <alignment vertical="center"/>
    </xf>
    <xf numFmtId="0" fontId="0" fillId="5" borderId="0" xfId="0" applyFill="1"/>
    <xf numFmtId="0" fontId="28" fillId="5" borderId="18" xfId="0" applyFont="1" applyFill="1" applyBorder="1" applyAlignment="1">
      <alignment vertical="center"/>
    </xf>
    <xf numFmtId="0" fontId="0" fillId="7" borderId="22" xfId="0" applyFill="1" applyBorder="1"/>
    <xf numFmtId="0" fontId="0" fillId="7" borderId="23" xfId="0" applyFill="1" applyBorder="1"/>
    <xf numFmtId="0" fontId="0" fillId="0" borderId="22" xfId="0" applyBorder="1"/>
    <xf numFmtId="0" fontId="0" fillId="0" borderId="23" xfId="0" applyBorder="1"/>
    <xf numFmtId="0" fontId="0" fillId="7" borderId="24" xfId="0" applyFill="1" applyBorder="1"/>
    <xf numFmtId="0" fontId="0" fillId="7" borderId="25" xfId="0" applyFill="1" applyBorder="1"/>
    <xf numFmtId="0" fontId="29" fillId="0" borderId="0" xfId="0" applyFont="1" applyAlignment="1">
      <alignment horizontal="center" vertical="center" wrapText="1"/>
    </xf>
    <xf numFmtId="49" fontId="30" fillId="8" borderId="0" xfId="0" applyNumberFormat="1" applyFont="1" applyFill="1" applyAlignment="1">
      <alignment wrapText="1"/>
    </xf>
    <xf numFmtId="49" fontId="3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center"/>
    </xf>
    <xf numFmtId="0" fontId="0" fillId="9" borderId="0" xfId="0" applyFill="1"/>
    <xf numFmtId="0" fontId="24" fillId="0" borderId="0" xfId="0" applyFont="1" applyAlignment="1">
      <alignment horizontal="center"/>
    </xf>
    <xf numFmtId="0" fontId="31" fillId="0" borderId="0" xfId="0" applyFont="1"/>
    <xf numFmtId="0" fontId="22" fillId="0" borderId="0" xfId="0" applyFont="1"/>
    <xf numFmtId="0" fontId="1" fillId="0" borderId="0" xfId="0" applyFont="1" applyFill="1"/>
    <xf numFmtId="0" fontId="1" fillId="9" borderId="0" xfId="0" applyFont="1" applyFill="1"/>
    <xf numFmtId="0" fontId="4" fillId="0" borderId="0" xfId="0" applyFont="1" applyFill="1"/>
    <xf numFmtId="0" fontId="32" fillId="0" borderId="0" xfId="0" applyFont="1" applyFill="1"/>
    <xf numFmtId="0" fontId="1" fillId="5" borderId="0" xfId="0" applyFont="1" applyFill="1"/>
    <xf numFmtId="0" fontId="6" fillId="5" borderId="0" xfId="0" applyFont="1" applyFill="1" applyAlignment="1">
      <alignment horizontal="left" vertical="top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>
      <alignment horizontal="left" vertical="center" indent="2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33" fillId="10" borderId="0" xfId="0" applyFont="1" applyFill="1"/>
    <xf numFmtId="0" fontId="34" fillId="10" borderId="0" xfId="0" applyFont="1" applyFill="1"/>
    <xf numFmtId="0" fontId="35" fillId="10" borderId="0" xfId="0" applyFont="1" applyFill="1"/>
    <xf numFmtId="0" fontId="36" fillId="2" borderId="0" xfId="0" applyFont="1" applyFill="1" applyAlignment="1">
      <alignment vertical="center"/>
    </xf>
    <xf numFmtId="0" fontId="37" fillId="2" borderId="0" xfId="0" applyFont="1" applyFill="1"/>
    <xf numFmtId="0" fontId="1" fillId="2" borderId="26" xfId="0" applyFont="1" applyFill="1" applyBorder="1"/>
    <xf numFmtId="0" fontId="1" fillId="2" borderId="27" xfId="0" applyFont="1" applyFill="1" applyBorder="1"/>
    <xf numFmtId="0" fontId="1" fillId="2" borderId="28" xfId="0" applyFont="1" applyFill="1" applyBorder="1"/>
    <xf numFmtId="0" fontId="1" fillId="2" borderId="29" xfId="0" applyFont="1" applyFill="1" applyBorder="1"/>
    <xf numFmtId="0" fontId="1" fillId="2" borderId="0" xfId="0" applyFont="1" applyFill="1" applyBorder="1"/>
    <xf numFmtId="0" fontId="1" fillId="2" borderId="30" xfId="0" applyFont="1" applyFill="1" applyBorder="1"/>
    <xf numFmtId="0" fontId="1" fillId="2" borderId="31" xfId="0" applyFont="1" applyFill="1" applyBorder="1"/>
    <xf numFmtId="0" fontId="1" fillId="2" borderId="32" xfId="0" applyFont="1" applyFill="1" applyBorder="1"/>
    <xf numFmtId="0" fontId="1" fillId="2" borderId="33" xfId="0" applyFont="1" applyFill="1" applyBorder="1"/>
    <xf numFmtId="0" fontId="1" fillId="2" borderId="34" xfId="0" applyFont="1" applyFill="1" applyBorder="1"/>
    <xf numFmtId="0" fontId="36" fillId="2" borderId="0" xfId="0" applyFont="1" applyFill="1" applyAlignment="1">
      <alignment horizontal="left" vertical="center"/>
    </xf>
    <xf numFmtId="0" fontId="38" fillId="0" borderId="0" xfId="0" applyFont="1" applyBorder="1" applyAlignment="1">
      <alignment vertical="center"/>
    </xf>
    <xf numFmtId="0" fontId="24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9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40" fillId="2" borderId="0" xfId="0" applyFont="1" applyFill="1"/>
    <xf numFmtId="0" fontId="0" fillId="2" borderId="35" xfId="0" applyFill="1" applyBorder="1"/>
    <xf numFmtId="0" fontId="40" fillId="11" borderId="35" xfId="0" applyFont="1" applyFill="1" applyBorder="1"/>
    <xf numFmtId="49" fontId="30" fillId="2" borderId="35" xfId="0" applyNumberFormat="1" applyFont="1" applyFill="1" applyBorder="1" applyAlignment="1">
      <alignment wrapText="1"/>
    </xf>
    <xf numFmtId="0" fontId="29" fillId="11" borderId="35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36" fillId="2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/>
    </xf>
    <xf numFmtId="0" fontId="6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left" vertical="center" wrapText="1"/>
    </xf>
    <xf numFmtId="0" fontId="25" fillId="6" borderId="13" xfId="0" applyFont="1" applyFill="1" applyBorder="1" applyAlignment="1">
      <alignment horizontal="left" vertical="top" wrapText="1"/>
    </xf>
    <xf numFmtId="0" fontId="25" fillId="6" borderId="14" xfId="0" applyFont="1" applyFill="1" applyBorder="1" applyAlignment="1">
      <alignment horizontal="left" vertical="top" wrapText="1"/>
    </xf>
    <xf numFmtId="0" fontId="25" fillId="6" borderId="15" xfId="0" applyFont="1" applyFill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14" xfId="0" applyFont="1" applyBorder="1" applyAlignment="1">
      <alignment horizontal="left" vertical="top" wrapText="1"/>
    </xf>
    <xf numFmtId="0" fontId="26" fillId="0" borderId="15" xfId="0" applyFont="1" applyBorder="1" applyAlignment="1">
      <alignment horizontal="left" vertical="top" wrapText="1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24" fillId="5" borderId="0" xfId="0" applyFont="1" applyFill="1" applyAlignment="1">
      <alignment horizontal="center"/>
    </xf>
    <xf numFmtId="0" fontId="0" fillId="0" borderId="17" xfId="0" applyBorder="1" applyAlignment="1">
      <alignment horizontal="center"/>
    </xf>
    <xf numFmtId="0" fontId="41" fillId="2" borderId="0" xfId="0" applyFont="1" applyFill="1"/>
    <xf numFmtId="0" fontId="42" fillId="2" borderId="0" xfId="0" applyFont="1" applyFill="1"/>
    <xf numFmtId="0" fontId="43" fillId="2" borderId="0" xfId="0" applyFont="1" applyFill="1"/>
    <xf numFmtId="0" fontId="25" fillId="6" borderId="12" xfId="0" applyFont="1" applyFill="1" applyBorder="1" applyAlignment="1">
      <alignment horizontal="left" vertical="top" wrapText="1"/>
    </xf>
    <xf numFmtId="0" fontId="25" fillId="6" borderId="12" xfId="0" applyFont="1" applyFill="1" applyBorder="1" applyAlignment="1">
      <alignment vertical="top" wrapText="1"/>
    </xf>
    <xf numFmtId="0" fontId="45" fillId="0" borderId="0" xfId="0" applyFont="1" applyAlignment="1">
      <alignment vertical="center"/>
    </xf>
    <xf numFmtId="0" fontId="26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vertical="center" wrapText="1"/>
    </xf>
    <xf numFmtId="0" fontId="46" fillId="0" borderId="0" xfId="0" applyFont="1"/>
    <xf numFmtId="0" fontId="46" fillId="0" borderId="12" xfId="0" applyFont="1" applyBorder="1"/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wrapText="1"/>
    </xf>
    <xf numFmtId="0" fontId="47" fillId="0" borderId="0" xfId="0" applyFont="1"/>
    <xf numFmtId="49" fontId="44" fillId="0" borderId="12" xfId="0" applyNumberFormat="1" applyFont="1" applyFill="1" applyBorder="1" applyAlignment="1">
      <alignment horizontal="center" vertical="center" wrapText="1"/>
    </xf>
    <xf numFmtId="49" fontId="44" fillId="0" borderId="12" xfId="0" applyNumberFormat="1" applyFont="1" applyFill="1" applyBorder="1" applyAlignment="1">
      <alignment vertical="center" wrapText="1"/>
    </xf>
    <xf numFmtId="0" fontId="45" fillId="0" borderId="12" xfId="0" applyFont="1" applyBorder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Century Gothic"/>
        <family val="2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2" tint="-0.249977111117893"/>
        <name val="Century Gothic"/>
        <family val="2"/>
        <scheme val="none"/>
      </font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Century Gothic"/>
        <family val="2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Style="combo" dx="31" fmlaLink="'PREGUNTAS REPSE'!$C$4" fmlaRange="'PREGUNTAS REPSE'!$B$3:$B$5" noThreeD="1" sel="3" val="0"/>
</file>

<file path=xl/ctrlProps/ctrlProp4.xml><?xml version="1.0" encoding="utf-8"?>
<formControlPr xmlns="http://schemas.microsoft.com/office/spreadsheetml/2009/9/main" objectType="Drop" dropStyle="combo" dx="31" fmlaLink="'PREGUNTAS REPSE'!$C$6" fmlaRange="'PREGUNTAS REPSE'!$B$6:$B$8" noThreeD="1" sel="2" val="0"/>
</file>

<file path=xl/ctrlProps/ctrlProp5.xml><?xml version="1.0" encoding="utf-8"?>
<formControlPr xmlns="http://schemas.microsoft.com/office/spreadsheetml/2009/9/main" objectType="Drop" dropStyle="combo" dx="31" fmlaLink="'PREGUNTAS REPSE'!$C$106" fmlaRange="'PREGUNTAS REPSE'!$B$105:$B$107" noThreeD="1" sel="0" val="0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31" fmlaLink="'PREGUNTAS REPSE'!$O$4" fmlaRange="'PREGUNTAS REPSE'!$K$4:$K$24" noThreeD="1" sel="3" val="3"/>
</file>

<file path=xl/ctrlProps/ctrlProp8.xml><?xml version="1.0" encoding="utf-8"?>
<formControlPr xmlns="http://schemas.microsoft.com/office/spreadsheetml/2009/9/main" objectType="Drop" dropStyle="combo" dx="31" fmlaLink="$V$42" fmlaRange="$V$36:$V$41" noThreeD="1" sel="2" val="0"/>
</file>

<file path=xl/ctrlProps/ctrlProp9.xml><?xml version="1.0" encoding="utf-8"?>
<formControlPr xmlns="http://schemas.microsoft.com/office/spreadsheetml/2009/9/main" objectType="Radio" checked="Checked" firstButton="1" fmlaLink="$W$42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Drop" dropStyle="combo" dx="31" fmlaLink="'5-CATALOGO'!$B$1" fmlaRange="'5-CATALOGO'!$C$1:$C$4" noThreeD="1" sel="3" val="0"/>
</file>

<file path=xl/ctrlProps/ctrlProp12.xml><?xml version="1.0" encoding="utf-8"?>
<formControlPr xmlns="http://schemas.microsoft.com/office/spreadsheetml/2009/9/main" objectType="Drop" dropStyle="combo" dx="31" fmlaRange="'5-CATALOGO'!$A$3:$A$298" noThreeD="1" sel="1" val="0"/>
</file>

<file path=xl/ctrlProps/ctrlProp13.xml><?xml version="1.0" encoding="utf-8"?>
<formControlPr xmlns="http://schemas.microsoft.com/office/spreadsheetml/2009/9/main" objectType="Drop" dropStyle="combo" dx="31" fmlaLink="'PREGUNTAS REPSE'!$B$10" fmlaRange="'PREGUNTAS REPSE'!$A$9:$A$105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List" dx="31" fmlaRange="$K$68:$K$69" noThreeD="1" sel="1" val="0"/>
</file>

<file path=xl/ctrlProps/ctrlProp19.xml><?xml version="1.0" encoding="utf-8"?>
<formControlPr xmlns="http://schemas.microsoft.com/office/spreadsheetml/2009/9/main" objectType="Drop" dropStyle="combo" dx="31" fmlaRange="$L$68:$L$78" noThreeD="1" sel="7" val="3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svg"/><Relationship Id="rId26" Type="http://schemas.openxmlformats.org/officeDocument/2006/relationships/image" Target="../media/image28.sv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sv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sv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sv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svg"/><Relationship Id="rId8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png"/><Relationship Id="rId13" Type="http://schemas.openxmlformats.org/officeDocument/2006/relationships/image" Target="../media/image29.png"/><Relationship Id="rId18" Type="http://schemas.openxmlformats.org/officeDocument/2006/relationships/image" Target="../media/image15.png"/><Relationship Id="rId3" Type="http://schemas.openxmlformats.org/officeDocument/2006/relationships/image" Target="../media/image11.png"/><Relationship Id="rId7" Type="http://schemas.openxmlformats.org/officeDocument/2006/relationships/image" Target="../media/image40.png"/><Relationship Id="rId12" Type="http://schemas.openxmlformats.org/officeDocument/2006/relationships/image" Target="../media/image28.svg"/><Relationship Id="rId17" Type="http://schemas.openxmlformats.org/officeDocument/2006/relationships/image" Target="../media/image44.png"/><Relationship Id="rId2" Type="http://schemas.openxmlformats.org/officeDocument/2006/relationships/image" Target="../media/image10.png"/><Relationship Id="rId16" Type="http://schemas.openxmlformats.org/officeDocument/2006/relationships/image" Target="../media/image26.png"/><Relationship Id="rId1" Type="http://schemas.openxmlformats.org/officeDocument/2006/relationships/image" Target="../media/image9.png"/><Relationship Id="rId6" Type="http://schemas.openxmlformats.org/officeDocument/2006/relationships/image" Target="../media/image39.png"/><Relationship Id="rId11" Type="http://schemas.openxmlformats.org/officeDocument/2006/relationships/image" Target="../media/image27.png"/><Relationship Id="rId5" Type="http://schemas.openxmlformats.org/officeDocument/2006/relationships/image" Target="../media/image38.png"/><Relationship Id="rId15" Type="http://schemas.openxmlformats.org/officeDocument/2006/relationships/image" Target="../media/image43.png"/><Relationship Id="rId10" Type="http://schemas.openxmlformats.org/officeDocument/2006/relationships/image" Target="../media/image18.png"/><Relationship Id="rId19" Type="http://schemas.openxmlformats.org/officeDocument/2006/relationships/image" Target="../media/image16.svg"/><Relationship Id="rId4" Type="http://schemas.openxmlformats.org/officeDocument/2006/relationships/image" Target="../media/image37.png"/><Relationship Id="rId9" Type="http://schemas.openxmlformats.org/officeDocument/2006/relationships/image" Target="../media/image42.png"/><Relationship Id="rId14" Type="http://schemas.openxmlformats.org/officeDocument/2006/relationships/image" Target="../media/image3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svg"/><Relationship Id="rId2" Type="http://schemas.openxmlformats.org/officeDocument/2006/relationships/image" Target="../media/image46.png"/><Relationship Id="rId1" Type="http://schemas.openxmlformats.org/officeDocument/2006/relationships/image" Target="../media/image4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50.emf"/><Relationship Id="rId7" Type="http://schemas.openxmlformats.org/officeDocument/2006/relationships/image" Target="../media/image54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53.emf"/><Relationship Id="rId5" Type="http://schemas.openxmlformats.org/officeDocument/2006/relationships/image" Target="../media/image52.emf"/><Relationship Id="rId10" Type="http://schemas.openxmlformats.org/officeDocument/2006/relationships/image" Target="../media/image57.emf"/><Relationship Id="rId4" Type="http://schemas.openxmlformats.org/officeDocument/2006/relationships/image" Target="../media/image51.emf"/><Relationship Id="rId9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</xdr:row>
          <xdr:rowOff>152400</xdr:rowOff>
        </xdr:from>
        <xdr:to>
          <xdr:col>3</xdr:col>
          <xdr:colOff>450850</xdr:colOff>
          <xdr:row>3</xdr:row>
          <xdr:rowOff>50800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2</xdr:row>
          <xdr:rowOff>222250</xdr:rowOff>
        </xdr:from>
        <xdr:to>
          <xdr:col>3</xdr:col>
          <xdr:colOff>450850</xdr:colOff>
          <xdr:row>4</xdr:row>
          <xdr:rowOff>31750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EXTRANJERO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226440</xdr:colOff>
      <xdr:row>22</xdr:row>
      <xdr:rowOff>95392</xdr:rowOff>
    </xdr:from>
    <xdr:to>
      <xdr:col>8</xdr:col>
      <xdr:colOff>706755</xdr:colOff>
      <xdr:row>31</xdr:row>
      <xdr:rowOff>21875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440" y="3238642"/>
          <a:ext cx="6587110" cy="1472708"/>
        </a:xfrm>
        <a:prstGeom prst="rect">
          <a:avLst/>
        </a:prstGeom>
      </xdr:spPr>
    </xdr:pic>
    <xdr:clientData/>
  </xdr:twoCellAnchor>
  <xdr:twoCellAnchor editAs="oneCell">
    <xdr:from>
      <xdr:col>0</xdr:col>
      <xdr:colOff>215900</xdr:colOff>
      <xdr:row>31</xdr:row>
      <xdr:rowOff>10608</xdr:rowOff>
    </xdr:from>
    <xdr:to>
      <xdr:col>8</xdr:col>
      <xdr:colOff>707690</xdr:colOff>
      <xdr:row>39</xdr:row>
      <xdr:rowOff>21589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5900" y="4696908"/>
          <a:ext cx="6580170" cy="1387661"/>
        </a:xfrm>
        <a:prstGeom prst="rect">
          <a:avLst/>
        </a:prstGeom>
      </xdr:spPr>
    </xdr:pic>
    <xdr:clientData/>
  </xdr:twoCellAnchor>
  <xdr:twoCellAnchor editAs="oneCell">
    <xdr:from>
      <xdr:col>0</xdr:col>
      <xdr:colOff>268493</xdr:colOff>
      <xdr:row>39</xdr:row>
      <xdr:rowOff>139701</xdr:rowOff>
    </xdr:from>
    <xdr:to>
      <xdr:col>8</xdr:col>
      <xdr:colOff>785496</xdr:colOff>
      <xdr:row>45</xdr:row>
      <xdr:rowOff>137161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47764"/>
        <a:stretch/>
      </xdr:blipFill>
      <xdr:spPr>
        <a:xfrm>
          <a:off x="268493" y="6210301"/>
          <a:ext cx="6604113" cy="1009650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58</xdr:row>
      <xdr:rowOff>393701</xdr:rowOff>
    </xdr:from>
    <xdr:to>
      <xdr:col>2</xdr:col>
      <xdr:colOff>381000</xdr:colOff>
      <xdr:row>60</xdr:row>
      <xdr:rowOff>60325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635" b="87447"/>
        <a:stretch/>
      </xdr:blipFill>
      <xdr:spPr bwMode="auto">
        <a:xfrm>
          <a:off x="209550" y="9709151"/>
          <a:ext cx="1346200" cy="241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800100</xdr:colOff>
      <xdr:row>52</xdr:row>
      <xdr:rowOff>0</xdr:rowOff>
    </xdr:from>
    <xdr:to>
      <xdr:col>12</xdr:col>
      <xdr:colOff>1362075</xdr:colOff>
      <xdr:row>61</xdr:row>
      <xdr:rowOff>142875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325100" y="8879417"/>
          <a:ext cx="4262967" cy="1907116"/>
          <a:chOff x="8869680" y="543078"/>
          <a:chExt cx="1691640" cy="1337791"/>
        </a:xfrm>
      </xdr:grpSpPr>
      <xdr:pic>
        <xdr:nvPicPr>
          <xdr:cNvPr id="11" name="Imagen 2" descr="Qué es el RFC y cómo se tramita? - Contaduría CCi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71549" y="1267392"/>
            <a:ext cx="1674530" cy="6134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" name="Imagen 3" descr="Qué es el RFC y cómo se tramita? - Contaduría CCii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69680" y="543078"/>
            <a:ext cx="1691640" cy="660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</xdr:col>
      <xdr:colOff>706120</xdr:colOff>
      <xdr:row>0</xdr:row>
      <xdr:rowOff>100330</xdr:rowOff>
    </xdr:from>
    <xdr:to>
      <xdr:col>9</xdr:col>
      <xdr:colOff>81280</xdr:colOff>
      <xdr:row>4</xdr:row>
      <xdr:rowOff>36968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098203" y="103505"/>
          <a:ext cx="2574502" cy="917713"/>
          <a:chOff x="4389120" y="96520"/>
          <a:chExt cx="2406650" cy="938668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89120" y="160019"/>
            <a:ext cx="1524000" cy="875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" name="Bocadillo: rectángulo con esquinas redondeadas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5717540" y="96520"/>
            <a:ext cx="1078230" cy="468630"/>
          </a:xfrm>
          <a:prstGeom prst="wedgeRoundRectCallout">
            <a:avLst>
              <a:gd name="adj1" fmla="val -40696"/>
              <a:gd name="adj2" fmla="val 67980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Marcador</a:t>
            </a:r>
            <a:r>
              <a:rPr lang="es-MX" sz="700" baseline="0">
                <a:solidFill>
                  <a:sysClr val="windowText" lastClr="000000"/>
                </a:solidFill>
              </a:rPr>
              <a:t> para ver el nivel o status del perfil del proveedor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0</xdr:col>
      <xdr:colOff>273050</xdr:colOff>
      <xdr:row>3</xdr:row>
      <xdr:rowOff>196850</xdr:rowOff>
    </xdr:from>
    <xdr:to>
      <xdr:col>1</xdr:col>
      <xdr:colOff>327026</xdr:colOff>
      <xdr:row>5</xdr:row>
      <xdr:rowOff>114300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5035" t="5798" r="50320" b="54342"/>
        <a:stretch/>
      </xdr:blipFill>
      <xdr:spPr>
        <a:xfrm>
          <a:off x="273050" y="933450"/>
          <a:ext cx="336551" cy="349250"/>
        </a:xfrm>
        <a:prstGeom prst="rect">
          <a:avLst/>
        </a:prstGeom>
      </xdr:spPr>
    </xdr:pic>
    <xdr:clientData/>
  </xdr:twoCellAnchor>
  <xdr:twoCellAnchor editAs="oneCell">
    <xdr:from>
      <xdr:col>0</xdr:col>
      <xdr:colOff>238760</xdr:colOff>
      <xdr:row>174</xdr:row>
      <xdr:rowOff>9525</xdr:rowOff>
    </xdr:from>
    <xdr:to>
      <xdr:col>1</xdr:col>
      <xdr:colOff>330154</xdr:colOff>
      <xdr:row>176</xdr:row>
      <xdr:rowOff>20275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760" y="29416375"/>
          <a:ext cx="377144" cy="362541"/>
        </a:xfrm>
        <a:prstGeom prst="rect">
          <a:avLst/>
        </a:prstGeom>
      </xdr:spPr>
    </xdr:pic>
    <xdr:clientData/>
  </xdr:twoCellAnchor>
  <xdr:twoCellAnchor>
    <xdr:from>
      <xdr:col>4</xdr:col>
      <xdr:colOff>46749</xdr:colOff>
      <xdr:row>61</xdr:row>
      <xdr:rowOff>83311</xdr:rowOff>
    </xdr:from>
    <xdr:to>
      <xdr:col>4</xdr:col>
      <xdr:colOff>718184</xdr:colOff>
      <xdr:row>63</xdr:row>
      <xdr:rowOff>170381</xdr:rowOff>
    </xdr:to>
    <xdr:cxnSp macro="">
      <xdr:nvCxnSpPr>
        <xdr:cNvPr id="10" name="Conector: curv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2361324" y="10151236"/>
          <a:ext cx="671435" cy="315670"/>
        </a:xfrm>
        <a:prstGeom prst="curvedConnector3">
          <a:avLst>
            <a:gd name="adj1" fmla="val 50000"/>
          </a:avLst>
        </a:prstGeom>
        <a:ln w="190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576832</xdr:colOff>
      <xdr:row>58</xdr:row>
      <xdr:rowOff>181131</xdr:rowOff>
    </xdr:from>
    <xdr:to>
      <xdr:col>5</xdr:col>
      <xdr:colOff>182381</xdr:colOff>
      <xdr:row>60</xdr:row>
      <xdr:rowOff>73625</xdr:rowOff>
    </xdr:to>
    <xdr:sp macro="" textlink="">
      <xdr:nvSpPr>
        <xdr:cNvPr id="26" name="Bocadillo: rectángulo con esquinas redondeada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300857" y="9496581"/>
          <a:ext cx="948574" cy="473519"/>
        </a:xfrm>
        <a:prstGeom prst="wedgeRoundRectCallout">
          <a:avLst>
            <a:gd name="adj1" fmla="val 33961"/>
            <a:gd name="adj2" fmla="val 59760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>
              <a:solidFill>
                <a:sysClr val="windowText" lastClr="000000"/>
              </a:solidFill>
            </a:rPr>
            <a:t>Que</a:t>
          </a:r>
          <a:r>
            <a:rPr lang="es-MX" sz="700" baseline="0">
              <a:solidFill>
                <a:sysClr val="windowText" lastClr="000000"/>
              </a:solidFill>
            </a:rPr>
            <a:t> en automático detecte el tipo de personalidad fiscal</a:t>
          </a:r>
          <a:endParaRPr lang="es-MX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196851</xdr:colOff>
      <xdr:row>64</xdr:row>
      <xdr:rowOff>126564</xdr:rowOff>
    </xdr:from>
    <xdr:to>
      <xdr:col>5</xdr:col>
      <xdr:colOff>744220</xdr:colOff>
      <xdr:row>81</xdr:row>
      <xdr:rowOff>145516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200026" y="11214722"/>
          <a:ext cx="4015527" cy="3109286"/>
          <a:chOff x="196851" y="10642164"/>
          <a:chExt cx="3614419" cy="3124102"/>
        </a:xfrm>
      </xdr:grpSpPr>
      <xdr:pic>
        <xdr:nvPicPr>
          <xdr:cNvPr id="4" name="Imagen 2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r="5974"/>
          <a:stretch/>
        </xdr:blipFill>
        <xdr:spPr>
          <a:xfrm>
            <a:off x="196851" y="11630025"/>
            <a:ext cx="3448050" cy="2136241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50386"/>
          <a:stretch/>
        </xdr:blipFill>
        <xdr:spPr bwMode="auto">
          <a:xfrm>
            <a:off x="228600" y="10642164"/>
            <a:ext cx="3582670" cy="10849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248754</xdr:colOff>
      <xdr:row>58</xdr:row>
      <xdr:rowOff>103505</xdr:rowOff>
    </xdr:from>
    <xdr:to>
      <xdr:col>1</xdr:col>
      <xdr:colOff>327773</xdr:colOff>
      <xdr:row>59</xdr:row>
      <xdr:rowOff>23851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52294" t="8697" r="11754" b="53617"/>
        <a:stretch/>
      </xdr:blipFill>
      <xdr:spPr>
        <a:xfrm>
          <a:off x="248754" y="9418955"/>
          <a:ext cx="355244" cy="329921"/>
        </a:xfrm>
        <a:prstGeom prst="rect">
          <a:avLst/>
        </a:prstGeom>
      </xdr:spPr>
    </xdr:pic>
    <xdr:clientData/>
  </xdr:twoCellAnchor>
  <xdr:twoCellAnchor>
    <xdr:from>
      <xdr:col>0</xdr:col>
      <xdr:colOff>234604</xdr:colOff>
      <xdr:row>136</xdr:row>
      <xdr:rowOff>107455</xdr:rowOff>
    </xdr:from>
    <xdr:to>
      <xdr:col>9</xdr:col>
      <xdr:colOff>717854</xdr:colOff>
      <xdr:row>162</xdr:row>
      <xdr:rowOff>108953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37779" y="25842947"/>
          <a:ext cx="8065150" cy="4488831"/>
          <a:chOff x="205739" y="15613380"/>
          <a:chExt cx="7543802" cy="4235597"/>
        </a:xfrm>
      </xdr:grpSpPr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/>
          <a:srcRect l="15035" t="46382" r="51628" b="10858"/>
          <a:stretch/>
        </xdr:blipFill>
        <xdr:spPr>
          <a:xfrm>
            <a:off x="205739" y="15613380"/>
            <a:ext cx="328931" cy="383540"/>
          </a:xfrm>
          <a:prstGeom prst="rect">
            <a:avLst/>
          </a:prstGeom>
        </xdr:spPr>
      </xdr:pic>
      <xdr:pic>
        <xdr:nvPicPr>
          <xdr:cNvPr id="41" name="Imagen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729247" y="15963820"/>
            <a:ext cx="6709610" cy="3885157"/>
          </a:xfrm>
          <a:prstGeom prst="rect">
            <a:avLst/>
          </a:prstGeom>
        </xdr:spPr>
      </xdr:pic>
      <xdr:pic>
        <xdr:nvPicPr>
          <xdr:cNvPr id="46" name="Gráfico 45" descr="bolas de harvey 65% con relleno sólido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532120" y="16139160"/>
            <a:ext cx="915670" cy="943610"/>
          </a:xfrm>
          <a:prstGeom prst="rect">
            <a:avLst/>
          </a:prstGeom>
        </xdr:spPr>
      </xdr:pic>
      <xdr:sp macro="" textlink="">
        <xdr:nvSpPr>
          <xdr:cNvPr id="49" name="Bocadillo: rectángulo con esquinas redondeadas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6484621" y="16322040"/>
            <a:ext cx="1264920" cy="510540"/>
          </a:xfrm>
          <a:prstGeom prst="wedgeRoundRectCallout">
            <a:avLst>
              <a:gd name="adj1" fmla="val -55599"/>
              <a:gd name="adj2" fmla="val -12000"/>
              <a:gd name="adj3" fmla="val 16667"/>
            </a:avLst>
          </a:prstGeom>
          <a:solidFill>
            <a:schemeClr val="bg1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Una gráfica que muestre el</a:t>
            </a:r>
            <a:r>
              <a:rPr lang="es-MX" sz="700" baseline="0">
                <a:solidFill>
                  <a:sysClr val="windowText" lastClr="000000"/>
                </a:solidFill>
              </a:rPr>
              <a:t> porcentaje de cumplimiento del perfil del proveedor.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28783</xdr:colOff>
      <xdr:row>108</xdr:row>
      <xdr:rowOff>75455</xdr:rowOff>
    </xdr:from>
    <xdr:to>
      <xdr:col>9</xdr:col>
      <xdr:colOff>648311</xdr:colOff>
      <xdr:row>134</xdr:row>
      <xdr:rowOff>113275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5608" y="20945788"/>
          <a:ext cx="8210953" cy="4546320"/>
          <a:chOff x="197114" y="13696950"/>
          <a:chExt cx="7657868" cy="3884733"/>
        </a:xfrm>
      </xdr:grpSpPr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200289" y="13693775"/>
            <a:ext cx="7657868" cy="3887908"/>
            <a:chOff x="176159" y="11684000"/>
            <a:chExt cx="7676918" cy="3934263"/>
          </a:xfrm>
        </xdr:grpSpPr>
        <xdr:pic>
          <xdr:nvPicPr>
            <xdr:cNvPr id="27" name="Imagen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6159" y="11917680"/>
              <a:ext cx="6963949" cy="3700583"/>
            </a:xfrm>
            <a:prstGeom prst="rect">
              <a:avLst/>
            </a:prstGeom>
          </xdr:spPr>
        </xdr:pic>
        <xdr:grpSp>
          <xdr:nvGrpSpPr>
            <xdr:cNvPr id="40" name="Grupo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GrpSpPr/>
          </xdr:nvGrpSpPr>
          <xdr:grpSpPr>
            <a:xfrm>
              <a:off x="5583519" y="11687810"/>
              <a:ext cx="2269558" cy="2610425"/>
              <a:chOff x="5583519" y="15468600"/>
              <a:chExt cx="2277178" cy="2628205"/>
            </a:xfrm>
          </xdr:grpSpPr>
          <xdr:pic>
            <xdr:nvPicPr>
              <xdr:cNvPr id="35" name="Imagen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/>
              <a:stretch>
                <a:fillRect/>
              </a:stretch>
            </xdr:blipFill>
            <xdr:spPr>
              <a:xfrm>
                <a:off x="5583519" y="15468600"/>
                <a:ext cx="2277178" cy="2628205"/>
              </a:xfrm>
              <a:prstGeom prst="rect">
                <a:avLst/>
              </a:prstGeom>
              <a:ln w="19050">
                <a:solidFill>
                  <a:schemeClr val="accent4"/>
                </a:solidFill>
              </a:ln>
            </xdr:spPr>
          </xdr:pic>
          <xdr:pic>
            <xdr:nvPicPr>
              <xdr:cNvPr id="39" name="Gráfico 38" descr="Marca de verificación con relleno sólido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xdr:blipFill>
            <xdr:spPr>
              <a:xfrm>
                <a:off x="7505700" y="16490950"/>
                <a:ext cx="298450" cy="298450"/>
              </a:xfrm>
              <a:prstGeom prst="rect">
                <a:avLst/>
              </a:prstGeom>
            </xdr:spPr>
          </xdr:pic>
        </xdr:grpSp>
        <xdr:sp macro="" textlink="">
          <xdr:nvSpPr>
            <xdr:cNvPr id="43" name="Bocadillo: rectángulo con esquinas redondeadas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/>
          </xdr:nvSpPr>
          <xdr:spPr>
            <a:xfrm>
              <a:off x="1486798" y="11826240"/>
              <a:ext cx="1553581" cy="495300"/>
            </a:xfrm>
            <a:prstGeom prst="wedgeRoundRectCallout">
              <a:avLst>
                <a:gd name="adj1" fmla="val -63390"/>
                <a:gd name="adj2" fmla="val 85436"/>
                <a:gd name="adj3" fmla="val 16667"/>
              </a:avLst>
            </a:prstGeom>
            <a:noFill/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MX" sz="700">
                  <a:solidFill>
                    <a:sysClr val="windowText" lastClr="000000"/>
                  </a:solidFill>
                </a:rPr>
                <a:t>Permitir ingresar datos hasta que se haya completado la carga del documento</a:t>
              </a:r>
              <a:r>
                <a:rPr lang="es-MX" sz="700" baseline="0">
                  <a:solidFill>
                    <a:sysClr val="windowText" lastClr="000000"/>
                  </a:solidFill>
                </a:rPr>
                <a:t> "Carátula de Cuenta"</a:t>
              </a:r>
              <a:endParaRPr lang="es-MX" sz="700">
                <a:solidFill>
                  <a:sysClr val="windowText" lastClr="000000"/>
                </a:solidFill>
              </a:endParaRPr>
            </a:p>
          </xdr:txBody>
        </xdr:sp>
      </xdr:grpSp>
      <xdr:sp macro="" textlink="">
        <xdr:nvSpPr>
          <xdr:cNvPr id="45" name="CuadroTexto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 txBox="1"/>
        </xdr:nvSpPr>
        <xdr:spPr>
          <a:xfrm>
            <a:off x="3781426" y="17170400"/>
            <a:ext cx="1158875" cy="276225"/>
          </a:xfrm>
          <a:prstGeom prst="rect">
            <a:avLst/>
          </a:prstGeom>
          <a:noFill/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0" i="0" u="none" strike="noStrike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Método</a:t>
            </a:r>
            <a:r>
              <a:rPr lang="es-MX" sz="900" b="0" i="0" u="none" strike="noStrike" baseline="0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 de pago</a:t>
            </a:r>
            <a:endParaRPr lang="es-MX" sz="900" b="1">
              <a:latin typeface="Century Gothic" panose="020B0502020202020204" pitchFamily="34" charset="0"/>
            </a:endParaRPr>
          </a:p>
        </xdr:txBody>
      </xdr:sp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3800476" y="15468600"/>
            <a:ext cx="1158875" cy="276225"/>
          </a:xfrm>
          <a:prstGeom prst="rect">
            <a:avLst/>
          </a:prstGeom>
          <a:noFill/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0" i="0" u="none" strike="noStrike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Método</a:t>
            </a:r>
            <a:r>
              <a:rPr lang="es-MX" sz="900" b="0" i="0" u="none" strike="noStrike" baseline="0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 de pago</a:t>
            </a:r>
            <a:endParaRPr lang="es-MX" sz="900" b="1">
              <a:latin typeface="Century Gothic" panose="020B0502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87</xdr:row>
          <xdr:rowOff>57150</xdr:rowOff>
        </xdr:from>
        <xdr:to>
          <xdr:col>8</xdr:col>
          <xdr:colOff>393700</xdr:colOff>
          <xdr:row>87</xdr:row>
          <xdr:rowOff>241300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88</xdr:row>
          <xdr:rowOff>12700</xdr:rowOff>
        </xdr:from>
        <xdr:to>
          <xdr:col>9</xdr:col>
          <xdr:colOff>666750</xdr:colOff>
          <xdr:row>88</xdr:row>
          <xdr:rowOff>190500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89</xdr:row>
          <xdr:rowOff>19050</xdr:rowOff>
        </xdr:from>
        <xdr:to>
          <xdr:col>9</xdr:col>
          <xdr:colOff>755650</xdr:colOff>
          <xdr:row>89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90</xdr:row>
          <xdr:rowOff>133350</xdr:rowOff>
        </xdr:from>
        <xdr:to>
          <xdr:col>9</xdr:col>
          <xdr:colOff>698500</xdr:colOff>
          <xdr:row>91</xdr:row>
          <xdr:rowOff>50800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92</xdr:row>
          <xdr:rowOff>69850</xdr:rowOff>
        </xdr:from>
        <xdr:to>
          <xdr:col>6</xdr:col>
          <xdr:colOff>133350</xdr:colOff>
          <xdr:row>93</xdr:row>
          <xdr:rowOff>19050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57150</xdr:rowOff>
        </xdr:from>
        <xdr:to>
          <xdr:col>4</xdr:col>
          <xdr:colOff>622300</xdr:colOff>
          <xdr:row>93</xdr:row>
          <xdr:rowOff>260350</xdr:rowOff>
        </xdr:to>
        <xdr:sp macro="" textlink="">
          <xdr:nvSpPr>
            <xdr:cNvPr id="1036" name="TextBox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895350</xdr:colOff>
          <xdr:row>67</xdr:row>
          <xdr:rowOff>184150</xdr:rowOff>
        </xdr:from>
        <xdr:to>
          <xdr:col>7</xdr:col>
          <xdr:colOff>590550</xdr:colOff>
          <xdr:row>70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Usa retención de impuestos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31750</xdr:colOff>
          <xdr:row>71</xdr:row>
          <xdr:rowOff>76200</xdr:rowOff>
        </xdr:from>
        <xdr:to>
          <xdr:col>8</xdr:col>
          <xdr:colOff>1327150</xdr:colOff>
          <xdr:row>72</xdr:row>
          <xdr:rowOff>95250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1762125</xdr:colOff>
      <xdr:row>86</xdr:row>
      <xdr:rowOff>0</xdr:rowOff>
    </xdr:from>
    <xdr:to>
      <xdr:col>12</xdr:col>
      <xdr:colOff>3885493</xdr:colOff>
      <xdr:row>96</xdr:row>
      <xdr:rowOff>214845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163175" y="18192750"/>
          <a:ext cx="5657143" cy="3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6</xdr:row>
      <xdr:rowOff>25401</xdr:rowOff>
    </xdr:from>
    <xdr:to>
      <xdr:col>8</xdr:col>
      <xdr:colOff>746760</xdr:colOff>
      <xdr:row>19</xdr:row>
      <xdr:rowOff>681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8449" y="1365251"/>
          <a:ext cx="6508751" cy="187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530225</xdr:colOff>
      <xdr:row>99</xdr:row>
      <xdr:rowOff>57150</xdr:rowOff>
    </xdr:from>
    <xdr:to>
      <xdr:col>14</xdr:col>
      <xdr:colOff>706328</xdr:colOff>
      <xdr:row>122</xdr:row>
      <xdr:rowOff>140278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128125" y="18859500"/>
          <a:ext cx="10707937" cy="4660318"/>
        </a:xfrm>
        <a:prstGeom prst="rect">
          <a:avLst/>
        </a:prstGeom>
      </xdr:spPr>
    </xdr:pic>
    <xdr:clientData/>
  </xdr:twoCellAnchor>
  <xdr:twoCellAnchor>
    <xdr:from>
      <xdr:col>0</xdr:col>
      <xdr:colOff>187326</xdr:colOff>
      <xdr:row>139</xdr:row>
      <xdr:rowOff>92074</xdr:rowOff>
    </xdr:from>
    <xdr:to>
      <xdr:col>4</xdr:col>
      <xdr:colOff>654050</xdr:colOff>
      <xdr:row>174</xdr:row>
      <xdr:rowOff>139699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87326" y="26367316"/>
          <a:ext cx="3158066" cy="6033558"/>
          <a:chOff x="123826" y="20704175"/>
          <a:chExt cx="2803503" cy="5848391"/>
        </a:xfrm>
      </xdr:grpSpPr>
      <xdr:pic>
        <xdr:nvPicPr>
          <xdr:cNvPr id="42" name="Imagen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6977"/>
          <a:stretch/>
        </xdr:blipFill>
        <xdr:spPr bwMode="auto">
          <a:xfrm>
            <a:off x="308422" y="23727899"/>
            <a:ext cx="2604578" cy="282466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Imagen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57" t="1834" r="10928" b="-1834"/>
          <a:stretch/>
        </xdr:blipFill>
        <xdr:spPr bwMode="auto">
          <a:xfrm>
            <a:off x="123826" y="20704175"/>
            <a:ext cx="2803503" cy="31146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457200</xdr:colOff>
      <xdr:row>8</xdr:row>
      <xdr:rowOff>152400</xdr:rowOff>
    </xdr:from>
    <xdr:to>
      <xdr:col>8</xdr:col>
      <xdr:colOff>1321965</xdr:colOff>
      <xdr:row>11</xdr:row>
      <xdr:rowOff>76232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4849283" y="1686983"/>
          <a:ext cx="2561274" cy="315416"/>
          <a:chOff x="4801980" y="10264642"/>
          <a:chExt cx="2383105" cy="317706"/>
        </a:xfrm>
      </xdr:grpSpPr>
      <xdr:pic>
        <xdr:nvPicPr>
          <xdr:cNvPr id="61" name="Imagen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0879" y="10315373"/>
            <a:ext cx="2098674" cy="2669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2" name="Gráfico 61" descr="Marca de verificación con relleno sólido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6885659" y="10264642"/>
            <a:ext cx="299426" cy="255495"/>
          </a:xfrm>
          <a:prstGeom prst="rect">
            <a:avLst/>
          </a:prstGeom>
        </xdr:spPr>
      </xdr:pic>
      <xdr:sp macro="" textlink="">
        <xdr:nvSpPr>
          <xdr:cNvPr id="63" name="Rectángulo: esquinas redondeadas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4801980" y="10298459"/>
            <a:ext cx="248563" cy="273078"/>
          </a:xfrm>
          <a:prstGeom prst="roundRect">
            <a:avLst/>
          </a:prstGeom>
          <a:solidFill>
            <a:schemeClr val="bg2">
              <a:lumMod val="9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>
        <xdr:nvPicPr>
          <xdr:cNvPr id="64" name="Gráfico 63" descr="Clip con relleno sólido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4807088" y="10313798"/>
            <a:ext cx="239365" cy="23073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533400</xdr:colOff>
      <xdr:row>40</xdr:row>
      <xdr:rowOff>76200</xdr:rowOff>
    </xdr:from>
    <xdr:to>
      <xdr:col>8</xdr:col>
      <xdr:colOff>1409700</xdr:colOff>
      <xdr:row>45</xdr:row>
      <xdr:rowOff>101600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867400" y="6913033"/>
          <a:ext cx="1627717" cy="875242"/>
          <a:chOff x="6229350" y="5892800"/>
          <a:chExt cx="1631950" cy="882650"/>
        </a:xfrm>
      </xdr:grpSpPr>
      <xdr:pic>
        <xdr:nvPicPr>
          <xdr:cNvPr id="17" name="Gráfico 16" descr="Insignia de seguir con relleno sólido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>
            <a:off x="6229350" y="6280150"/>
            <a:ext cx="495300" cy="495300"/>
          </a:xfrm>
          <a:prstGeom prst="rect">
            <a:avLst/>
          </a:prstGeom>
        </xdr:spPr>
      </xdr:pic>
      <xdr:sp macro="" textlink="">
        <xdr:nvSpPr>
          <xdr:cNvPr id="65" name="Bocadillo: rectángulo con esquinas redondeadas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6629400" y="5892800"/>
            <a:ext cx="1231900" cy="408944"/>
          </a:xfrm>
          <a:prstGeom prst="wedgeRoundRectCallout">
            <a:avLst>
              <a:gd name="adj1" fmla="val -40696"/>
              <a:gd name="adj2" fmla="val 67980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Agregar más de un</a:t>
            </a:r>
            <a:r>
              <a:rPr lang="es-MX" sz="700" baseline="0">
                <a:solidFill>
                  <a:sysClr val="windowText" lastClr="000000"/>
                </a:solidFill>
              </a:rPr>
              <a:t> sitio (empresa - moneda)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43</xdr:row>
          <xdr:rowOff>146050</xdr:rowOff>
        </xdr:from>
        <xdr:to>
          <xdr:col>4</xdr:col>
          <xdr:colOff>184150</xdr:colOff>
          <xdr:row>45</xdr:row>
          <xdr:rowOff>38100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220218</xdr:colOff>
      <xdr:row>137</xdr:row>
      <xdr:rowOff>61998</xdr:rowOff>
    </xdr:from>
    <xdr:to>
      <xdr:col>6</xdr:col>
      <xdr:colOff>734573</xdr:colOff>
      <xdr:row>141</xdr:row>
      <xdr:rowOff>9420</xdr:rowOff>
    </xdr:to>
    <xdr:sp macro="" textlink="">
      <xdr:nvSpPr>
        <xdr:cNvPr id="44" name="Bocadillo: rectángulo con esquinas redondeada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3680968" y="23328398"/>
          <a:ext cx="1441455" cy="518922"/>
        </a:xfrm>
        <a:prstGeom prst="wedgeRoundRectCallout">
          <a:avLst>
            <a:gd name="adj1" fmla="val -75670"/>
            <a:gd name="adj2" fmla="val 48495"/>
            <a:gd name="adj3" fmla="val 16667"/>
          </a:avLst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>
              <a:solidFill>
                <a:sysClr val="windowText" lastClr="000000"/>
              </a:solidFill>
            </a:rPr>
            <a:t>El requerimiento</a:t>
          </a:r>
          <a:r>
            <a:rPr lang="es-MX" sz="700" baseline="0">
              <a:solidFill>
                <a:sysClr val="windowText" lastClr="000000"/>
              </a:solidFill>
            </a:rPr>
            <a:t> de documentos depende del tipo de personalidad fiscal.</a:t>
          </a:r>
          <a:endParaRPr lang="es-MX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608716</xdr:colOff>
      <xdr:row>43</xdr:row>
      <xdr:rowOff>64834</xdr:rowOff>
    </xdr:from>
    <xdr:to>
      <xdr:col>7</xdr:col>
      <xdr:colOff>471446</xdr:colOff>
      <xdr:row>46</xdr:row>
      <xdr:rowOff>68146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3296883" y="7412842"/>
          <a:ext cx="2505388" cy="504962"/>
          <a:chOff x="3251200" y="6813560"/>
          <a:chExt cx="2311400" cy="514350"/>
        </a:xfrm>
      </xdr:grpSpPr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6" name="Grupo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GrpSpPr/>
            </xdr:nvGrpSpPr>
            <xdr:grpSpPr>
              <a:xfrm>
                <a:off x="3943351" y="6813560"/>
                <a:ext cx="1619249" cy="514350"/>
                <a:chOff x="2838451" y="6769110"/>
                <a:chExt cx="1619249" cy="514350"/>
              </a:xfrm>
            </xdr:grpSpPr>
            <xdr:sp macro="" textlink="">
              <xdr:nvSpPr>
                <xdr:cNvPr id="1048" name="Option Button 24" hidden="1">
                  <a:extLst>
                    <a:ext uri="{63B3BB69-23CF-44E3-9099-C40C66FF867C}">
                      <a14:compatExt spid="_x0000_s1048"/>
                    </a:ext>
                    <a:ext uri="{FF2B5EF4-FFF2-40B4-BE49-F238E27FC236}">
                      <a16:creationId xmlns:a16="http://schemas.microsoft.com/office/drawing/2014/main" id="{00000000-0008-0000-0000-000018040000}"/>
                    </a:ext>
                  </a:extLst>
                </xdr:cNvPr>
                <xdr:cNvSpPr/>
              </xdr:nvSpPr>
              <xdr:spPr bwMode="auto">
                <a:xfrm>
                  <a:off x="2838451" y="6769110"/>
                  <a:ext cx="965200" cy="508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es-MX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MXN</a:t>
                  </a:r>
                </a:p>
              </xdr:txBody>
            </xdr:sp>
            <xdr:sp macro="" textlink="">
              <xdr:nvSpPr>
                <xdr:cNvPr id="1049" name="Option Button 25" hidden="1">
                  <a:extLst>
                    <a:ext uri="{63B3BB69-23CF-44E3-9099-C40C66FF867C}">
                      <a14:compatExt spid="_x0000_s1049"/>
                    </a:ext>
                    <a:ext uri="{FF2B5EF4-FFF2-40B4-BE49-F238E27FC236}">
                      <a16:creationId xmlns:a16="http://schemas.microsoft.com/office/drawing/2014/main" id="{00000000-0008-0000-0000-000019040000}"/>
                    </a:ext>
                  </a:extLst>
                </xdr:cNvPr>
                <xdr:cNvSpPr/>
              </xdr:nvSpPr>
              <xdr:spPr bwMode="auto">
                <a:xfrm>
                  <a:off x="3492500" y="6775460"/>
                  <a:ext cx="965200" cy="508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es-MX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USD</a:t>
                  </a:r>
                </a:p>
              </xdr:txBody>
            </xdr:sp>
          </xdr:grpSp>
        </mc:Choice>
        <mc:Fallback/>
      </mc:AlternateContent>
      <xdr:sp macro="" textlink="">
        <xdr:nvSpPr>
          <xdr:cNvPr id="37" name="CuadroText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/>
        </xdr:nvSpPr>
        <xdr:spPr>
          <a:xfrm>
            <a:off x="3251200" y="6959600"/>
            <a:ext cx="666750" cy="279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latin typeface="Century Gothic" panose="020B0502020202020204" pitchFamily="34" charset="0"/>
              </a:rPr>
              <a:t>Moneda: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20</xdr:row>
          <xdr:rowOff>31750</xdr:rowOff>
        </xdr:from>
        <xdr:to>
          <xdr:col>4</xdr:col>
          <xdr:colOff>679450</xdr:colOff>
          <xdr:row>21</xdr:row>
          <xdr:rowOff>69850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20</xdr:row>
          <xdr:rowOff>12700</xdr:rowOff>
        </xdr:from>
        <xdr:to>
          <xdr:col>8</xdr:col>
          <xdr:colOff>685800</xdr:colOff>
          <xdr:row>21</xdr:row>
          <xdr:rowOff>57150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203200</xdr:colOff>
      <xdr:row>64</xdr:row>
      <xdr:rowOff>139700</xdr:rowOff>
    </xdr:from>
    <xdr:to>
      <xdr:col>5</xdr:col>
      <xdr:colOff>742950</xdr:colOff>
      <xdr:row>67</xdr:row>
      <xdr:rowOff>63500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03200" y="11322050"/>
          <a:ext cx="4000500" cy="5016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211707</xdr:colOff>
      <xdr:row>66</xdr:row>
      <xdr:rowOff>35081</xdr:rowOff>
    </xdr:from>
    <xdr:to>
      <xdr:col>10</xdr:col>
      <xdr:colOff>350656</xdr:colOff>
      <xdr:row>68</xdr:row>
      <xdr:rowOff>99025</xdr:rowOff>
    </xdr:to>
    <xdr:sp macro="" textlink="">
      <xdr:nvSpPr>
        <xdr:cNvPr id="76" name="Bocadillo: rectángulo con esquinas redondeadas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7793607" y="11566681"/>
          <a:ext cx="1154949" cy="470344"/>
        </a:xfrm>
        <a:prstGeom prst="wedgeRoundRectCallout">
          <a:avLst>
            <a:gd name="adj1" fmla="val -358602"/>
            <a:gd name="adj2" fmla="val 7108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>
              <a:solidFill>
                <a:sysClr val="windowText" lastClr="000000"/>
              </a:solidFill>
            </a:rPr>
            <a:t>El campo de CURP se activará solo para personas físicas.</a:t>
          </a:r>
        </a:p>
      </xdr:txBody>
    </xdr:sp>
    <xdr:clientData/>
  </xdr:twoCellAnchor>
  <xdr:twoCellAnchor>
    <xdr:from>
      <xdr:col>8</xdr:col>
      <xdr:colOff>1041400</xdr:colOff>
      <xdr:row>92</xdr:row>
      <xdr:rowOff>31750</xdr:rowOff>
    </xdr:from>
    <xdr:to>
      <xdr:col>9</xdr:col>
      <xdr:colOff>691399</xdr:colOff>
      <xdr:row>93</xdr:row>
      <xdr:rowOff>248094</xdr:rowOff>
    </xdr:to>
    <xdr:sp macro="" textlink="">
      <xdr:nvSpPr>
        <xdr:cNvPr id="77" name="Bocadillo: rectángulo con esquinas redondeadas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7118350" y="15716250"/>
          <a:ext cx="1154949" cy="470344"/>
        </a:xfrm>
        <a:prstGeom prst="wedgeRoundRectCallout">
          <a:avLst>
            <a:gd name="adj1" fmla="val -100742"/>
            <a:gd name="adj2" fmla="val 1708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MX" sz="7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La pregunta 3 a la 6 son dependientes de la pregunta 2.</a:t>
          </a:r>
          <a:endParaRPr lang="es-MX" sz="3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</xdr:col>
      <xdr:colOff>31750</xdr:colOff>
      <xdr:row>81</xdr:row>
      <xdr:rowOff>101605</xdr:rowOff>
    </xdr:from>
    <xdr:to>
      <xdr:col>9</xdr:col>
      <xdr:colOff>31750</xdr:colOff>
      <xdr:row>85</xdr:row>
      <xdr:rowOff>185865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03742" y="14286447"/>
          <a:ext cx="7313083" cy="1009243"/>
          <a:chOff x="311150" y="14312901"/>
          <a:chExt cx="7302500" cy="1022350"/>
        </a:xfrm>
      </xdr:grpSpPr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/>
          <a:srcRect l="1772" r="74883" b="9941"/>
          <a:stretch/>
        </xdr:blipFill>
        <xdr:spPr>
          <a:xfrm>
            <a:off x="311150" y="14312901"/>
            <a:ext cx="2514600" cy="982358"/>
          </a:xfrm>
          <a:prstGeom prst="rect">
            <a:avLst/>
          </a:prstGeom>
        </xdr:spPr>
      </xdr:pic>
      <xdr:pic>
        <xdr:nvPicPr>
          <xdr:cNvPr id="78" name="Imagen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/>
          <a:srcRect l="50943" t="22004" b="6488"/>
          <a:stretch/>
        </xdr:blipFill>
        <xdr:spPr>
          <a:xfrm>
            <a:off x="2889250" y="14637879"/>
            <a:ext cx="4724400" cy="69737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252123</xdr:colOff>
      <xdr:row>93</xdr:row>
      <xdr:rowOff>250135</xdr:rowOff>
    </xdr:from>
    <xdr:to>
      <xdr:col>1</xdr:col>
      <xdr:colOff>365981</xdr:colOff>
      <xdr:row>95</xdr:row>
      <xdr:rowOff>97734</xdr:rowOff>
    </xdr:to>
    <xdr:pic>
      <xdr:nvPicPr>
        <xdr:cNvPr id="53" name="Gráfico 52" descr="Cargar contorno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52123" y="17398448"/>
          <a:ext cx="388620" cy="377686"/>
        </a:xfrm>
        <a:prstGeom prst="rect">
          <a:avLst/>
        </a:prstGeom>
      </xdr:spPr>
    </xdr:pic>
    <xdr:clientData/>
  </xdr:twoCellAnchor>
  <xdr:twoCellAnchor>
    <xdr:from>
      <xdr:col>8</xdr:col>
      <xdr:colOff>954156</xdr:colOff>
      <xdr:row>47</xdr:row>
      <xdr:rowOff>92765</xdr:rowOff>
    </xdr:from>
    <xdr:to>
      <xdr:col>8</xdr:col>
      <xdr:colOff>1273517</xdr:colOff>
      <xdr:row>49</xdr:row>
      <xdr:rowOff>11753</xdr:rowOff>
    </xdr:to>
    <xdr:pic>
      <xdr:nvPicPr>
        <xdr:cNvPr id="82" name="Gráfico 81" descr="Marca de verificación con relleno sólido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7050156" y="8222974"/>
          <a:ext cx="319361" cy="263544"/>
        </a:xfrm>
        <a:prstGeom prst="rect">
          <a:avLst/>
        </a:prstGeom>
      </xdr:spPr>
    </xdr:pic>
    <xdr:clientData/>
  </xdr:twoCellAnchor>
  <xdr:twoCellAnchor>
    <xdr:from>
      <xdr:col>0</xdr:col>
      <xdr:colOff>39757</xdr:colOff>
      <xdr:row>113</xdr:row>
      <xdr:rowOff>152400</xdr:rowOff>
    </xdr:from>
    <xdr:to>
      <xdr:col>5</xdr:col>
      <xdr:colOff>265043</xdr:colOff>
      <xdr:row>116</xdr:row>
      <xdr:rowOff>86139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39757" y="21938974"/>
          <a:ext cx="3703982" cy="45057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34923</xdr:colOff>
      <xdr:row>15</xdr:row>
      <xdr:rowOff>94476</xdr:rowOff>
    </xdr:from>
    <xdr:to>
      <xdr:col>12</xdr:col>
      <xdr:colOff>2400852</xdr:colOff>
      <xdr:row>29</xdr:row>
      <xdr:rowOff>155103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D87EA26-0C2B-4355-9EF2-0110987C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7623173" y="2697976"/>
          <a:ext cx="8006846" cy="24207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</xdr:row>
          <xdr:rowOff>152400</xdr:rowOff>
        </xdr:from>
        <xdr:to>
          <xdr:col>3</xdr:col>
          <xdr:colOff>450850</xdr:colOff>
          <xdr:row>3</xdr:row>
          <xdr:rowOff>50800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2</xdr:row>
          <xdr:rowOff>222250</xdr:rowOff>
        </xdr:from>
        <xdr:to>
          <xdr:col>3</xdr:col>
          <xdr:colOff>450850</xdr:colOff>
          <xdr:row>4</xdr:row>
          <xdr:rowOff>31750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EXTRANJERO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709930</xdr:colOff>
      <xdr:row>0</xdr:row>
      <xdr:rowOff>97790</xdr:rowOff>
    </xdr:from>
    <xdr:to>
      <xdr:col>9</xdr:col>
      <xdr:colOff>82550</xdr:colOff>
      <xdr:row>4</xdr:row>
      <xdr:rowOff>36968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4705322" y="97790"/>
          <a:ext cx="2387490" cy="933091"/>
          <a:chOff x="4389120" y="96520"/>
          <a:chExt cx="2406650" cy="938668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89120" y="160019"/>
            <a:ext cx="1524000" cy="875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Bocadillo: rectángulo con esquinas redondeadas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5717540" y="96520"/>
            <a:ext cx="1078230" cy="468630"/>
          </a:xfrm>
          <a:prstGeom prst="wedgeRoundRectCallout">
            <a:avLst>
              <a:gd name="adj1" fmla="val -40696"/>
              <a:gd name="adj2" fmla="val 67980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Marcador</a:t>
            </a:r>
            <a:r>
              <a:rPr lang="es-MX" sz="700" baseline="0">
                <a:solidFill>
                  <a:sysClr val="windowText" lastClr="000000"/>
                </a:solidFill>
              </a:rPr>
              <a:t> para ver el nivel o status del perfil del proveedor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0</xdr:col>
      <xdr:colOff>273050</xdr:colOff>
      <xdr:row>3</xdr:row>
      <xdr:rowOff>196850</xdr:rowOff>
    </xdr:from>
    <xdr:to>
      <xdr:col>1</xdr:col>
      <xdr:colOff>330836</xdr:colOff>
      <xdr:row>5</xdr:row>
      <xdr:rowOff>114300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5035" t="5798" r="50320" b="54342"/>
        <a:stretch/>
      </xdr:blipFill>
      <xdr:spPr>
        <a:xfrm>
          <a:off x="274320" y="937260"/>
          <a:ext cx="337821" cy="350520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109</xdr:row>
      <xdr:rowOff>106901</xdr:rowOff>
    </xdr:from>
    <xdr:to>
      <xdr:col>1</xdr:col>
      <xdr:colOff>332694</xdr:colOff>
      <xdr:row>111</xdr:row>
      <xdr:rowOff>27564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220" y="19234205"/>
          <a:ext cx="374908" cy="349012"/>
        </a:xfrm>
        <a:prstGeom prst="rect">
          <a:avLst/>
        </a:prstGeom>
      </xdr:spPr>
    </xdr:pic>
    <xdr:clientData/>
  </xdr:twoCellAnchor>
  <xdr:twoCellAnchor editAs="oneCell">
    <xdr:from>
      <xdr:col>0</xdr:col>
      <xdr:colOff>257811</xdr:colOff>
      <xdr:row>18</xdr:row>
      <xdr:rowOff>96520</xdr:rowOff>
    </xdr:from>
    <xdr:to>
      <xdr:col>8</xdr:col>
      <xdr:colOff>1245235</xdr:colOff>
      <xdr:row>30</xdr:row>
      <xdr:rowOff>47666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811" y="3281680"/>
          <a:ext cx="6531609" cy="20498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91440</xdr:rowOff>
    </xdr:from>
    <xdr:to>
      <xdr:col>8</xdr:col>
      <xdr:colOff>1246505</xdr:colOff>
      <xdr:row>47</xdr:row>
      <xdr:rowOff>143450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1940" y="5204460"/>
          <a:ext cx="6513830" cy="3192085"/>
        </a:xfrm>
        <a:prstGeom prst="rect">
          <a:avLst/>
        </a:prstGeom>
      </xdr:spPr>
    </xdr:pic>
    <xdr:clientData/>
  </xdr:twoCellAnchor>
  <xdr:twoCellAnchor>
    <xdr:from>
      <xdr:col>4</xdr:col>
      <xdr:colOff>516890</xdr:colOff>
      <xdr:row>0</xdr:row>
      <xdr:rowOff>190500</xdr:rowOff>
    </xdr:from>
    <xdr:to>
      <xdr:col>5</xdr:col>
      <xdr:colOff>906780</xdr:colOff>
      <xdr:row>2</xdr:row>
      <xdr:rowOff>180344</xdr:rowOff>
    </xdr:to>
    <xdr:sp macro="" textlink="">
      <xdr:nvSpPr>
        <xdr:cNvPr id="39" name="Bocadillo: rectángulo con esquinas redondeada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848610" y="190500"/>
          <a:ext cx="1151890" cy="469904"/>
        </a:xfrm>
        <a:prstGeom prst="wedgeRoundRectCallout">
          <a:avLst>
            <a:gd name="adj1" fmla="val -20882"/>
            <a:gd name="adj2" fmla="val 76066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800">
              <a:solidFill>
                <a:sysClr val="windowText" lastClr="000000"/>
              </a:solidFill>
            </a:rPr>
            <a:t>Cambiar</a:t>
          </a:r>
          <a:r>
            <a:rPr lang="es-MX" sz="800" baseline="0">
              <a:solidFill>
                <a:sysClr val="windowText" lastClr="000000"/>
              </a:solidFill>
            </a:rPr>
            <a:t> el formulario a idioma ingles</a:t>
          </a:r>
          <a:endParaRPr lang="es-MX" sz="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10161</xdr:colOff>
      <xdr:row>47</xdr:row>
      <xdr:rowOff>137819</xdr:rowOff>
    </xdr:from>
    <xdr:to>
      <xdr:col>8</xdr:col>
      <xdr:colOff>1295400</xdr:colOff>
      <xdr:row>58</xdr:row>
      <xdr:rowOff>143238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2101" y="8405519"/>
          <a:ext cx="6550659" cy="1922484"/>
        </a:xfrm>
        <a:prstGeom prst="rect">
          <a:avLst/>
        </a:prstGeom>
      </xdr:spPr>
    </xdr:pic>
    <xdr:clientData/>
  </xdr:twoCellAnchor>
  <xdr:twoCellAnchor>
    <xdr:from>
      <xdr:col>1</xdr:col>
      <xdr:colOff>6847</xdr:colOff>
      <xdr:row>59</xdr:row>
      <xdr:rowOff>43843</xdr:rowOff>
    </xdr:from>
    <xdr:to>
      <xdr:col>8</xdr:col>
      <xdr:colOff>1430186</xdr:colOff>
      <xdr:row>65</xdr:row>
      <xdr:rowOff>130935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/>
      </xdr:nvGrpSpPr>
      <xdr:grpSpPr>
        <a:xfrm>
          <a:off x="283348" y="10350583"/>
          <a:ext cx="6646490" cy="1284895"/>
          <a:chOff x="238760" y="10995660"/>
          <a:chExt cx="6689090" cy="1289616"/>
        </a:xfrm>
      </xdr:grpSpPr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52294" t="8697" r="11754" b="53617"/>
          <a:stretch/>
        </xdr:blipFill>
        <xdr:spPr>
          <a:xfrm>
            <a:off x="252721" y="10995660"/>
            <a:ext cx="358014" cy="330740"/>
          </a:xfrm>
          <a:prstGeom prst="rect">
            <a:avLst/>
          </a:prstGeom>
        </xdr:spPr>
      </xdr:pic>
      <xdr:pic>
        <xdr:nvPicPr>
          <xdr:cNvPr id="41" name="Image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8760" y="11386820"/>
            <a:ext cx="6689090" cy="89845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11458</xdr:colOff>
      <xdr:row>5</xdr:row>
      <xdr:rowOff>125472</xdr:rowOff>
    </xdr:from>
    <xdr:to>
      <xdr:col>8</xdr:col>
      <xdr:colOff>1362046</xdr:colOff>
      <xdr:row>18</xdr:row>
      <xdr:rowOff>56036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84" y="1293320"/>
          <a:ext cx="6604937" cy="19349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195470</xdr:colOff>
      <xdr:row>70</xdr:row>
      <xdr:rowOff>46047</xdr:rowOff>
    </xdr:from>
    <xdr:to>
      <xdr:col>9</xdr:col>
      <xdr:colOff>147687</xdr:colOff>
      <xdr:row>83</xdr:row>
      <xdr:rowOff>135060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98645" y="12506265"/>
          <a:ext cx="6952954" cy="2454665"/>
          <a:chOff x="195470" y="12160735"/>
          <a:chExt cx="6992434" cy="2380535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95470" y="12197144"/>
            <a:ext cx="6992434" cy="2344126"/>
          </a:xfrm>
          <a:prstGeom prst="rect">
            <a:avLst/>
          </a:prstGeom>
        </xdr:spPr>
      </xdr:pic>
      <xdr:sp macro="" textlink="">
        <xdr:nvSpPr>
          <xdr:cNvPr id="20" name="Bocadillo: rectángulo con esquinas redondeadas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1894209" y="12160735"/>
            <a:ext cx="1557696" cy="494344"/>
          </a:xfrm>
          <a:prstGeom prst="wedgeRoundRectCallout">
            <a:avLst>
              <a:gd name="adj1" fmla="val -63390"/>
              <a:gd name="adj2" fmla="val 85436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Permitir ingresar datos hasta que se haya completado la carga del documento</a:t>
            </a:r>
            <a:r>
              <a:rPr lang="es-MX" sz="700" baseline="0">
                <a:solidFill>
                  <a:sysClr val="windowText" lastClr="000000"/>
                </a:solidFill>
              </a:rPr>
              <a:t> "Carátula de Cuenta"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4780304" y="12352959"/>
            <a:ext cx="2383090" cy="307145"/>
            <a:chOff x="4400825" y="11938001"/>
            <a:chExt cx="2389440" cy="319845"/>
          </a:xfrm>
        </xdr:grpSpPr>
        <xdr:pic>
          <xdr:nvPicPr>
            <xdr:cNvPr id="21" name="Imagen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0"/>
            <a:srcRect l="4514" t="41680" r="2663" b="49566"/>
            <a:stretch/>
          </xdr:blipFill>
          <xdr:spPr>
            <a:xfrm>
              <a:off x="4654826" y="12003845"/>
              <a:ext cx="2092325" cy="237849"/>
            </a:xfrm>
            <a:prstGeom prst="rect">
              <a:avLst/>
            </a:prstGeom>
            <a:ln w="19050">
              <a:noFill/>
            </a:ln>
          </xdr:spPr>
        </xdr:pic>
        <xdr:pic>
          <xdr:nvPicPr>
            <xdr:cNvPr id="22" name="Gráfico 21" descr="Marca de verificación con relleno sólido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6503158" y="11938001"/>
              <a:ext cx="287107" cy="293046"/>
            </a:xfrm>
            <a:prstGeom prst="rect">
              <a:avLst/>
            </a:prstGeom>
          </xdr:spPr>
        </xdr:pic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pSpPr/>
          </xdr:nvGrpSpPr>
          <xdr:grpSpPr>
            <a:xfrm>
              <a:off x="4400825" y="11976651"/>
              <a:ext cx="254322" cy="281195"/>
              <a:chOff x="4400825" y="11976651"/>
              <a:chExt cx="254322" cy="281195"/>
            </a:xfrm>
          </xdr:grpSpPr>
          <xdr:sp macro="" textlink="">
            <xdr:nvSpPr>
              <xdr:cNvPr id="6" name="Rectángulo: esquinas redondeadas 5">
                <a:extLst>
                  <a:ext uri="{FF2B5EF4-FFF2-40B4-BE49-F238E27FC236}">
                    <a16:creationId xmlns:a16="http://schemas.microsoft.com/office/drawing/2014/main" id="{00000000-0008-0000-0200-000006000000}"/>
                  </a:ext>
                </a:extLst>
              </xdr:cNvPr>
              <xdr:cNvSpPr/>
            </xdr:nvSpPr>
            <xdr:spPr>
              <a:xfrm>
                <a:off x="4400825" y="11976651"/>
                <a:ext cx="248893" cy="281195"/>
              </a:xfrm>
              <a:prstGeom prst="roundRect">
                <a:avLst/>
              </a:prstGeom>
              <a:solidFill>
                <a:schemeClr val="bg2">
                  <a:lumMod val="9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pic>
            <xdr:nvPicPr>
              <xdr:cNvPr id="5" name="Gráfico 4" descr="Clip con relleno sólido">
                <a:extLst>
                  <a:ext uri="{FF2B5EF4-FFF2-40B4-BE49-F238E27FC236}">
                    <a16:creationId xmlns:a16="http://schemas.microsoft.com/office/drawing/2014/main" id="{00000000-0008-0000-0200-00000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4"/>
                  </a:ext>
                </a:extLst>
              </a:blip>
              <a:stretch>
                <a:fillRect/>
              </a:stretch>
            </xdr:blipFill>
            <xdr:spPr>
              <a:xfrm>
                <a:off x="4412284" y="11991986"/>
                <a:ext cx="242863" cy="254402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>
    <xdr:from>
      <xdr:col>7</xdr:col>
      <xdr:colOff>37530</xdr:colOff>
      <xdr:row>59</xdr:row>
      <xdr:rowOff>298174</xdr:rowOff>
    </xdr:from>
    <xdr:to>
      <xdr:col>9</xdr:col>
      <xdr:colOff>164592</xdr:colOff>
      <xdr:row>61</xdr:row>
      <xdr:rowOff>38235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783465" y="10598564"/>
          <a:ext cx="2385039" cy="323019"/>
          <a:chOff x="4796855" y="10598566"/>
          <a:chExt cx="2396497" cy="329054"/>
        </a:xfrm>
      </xdr:grpSpPr>
      <xdr:pic>
        <xdr:nvPicPr>
          <xdr:cNvPr id="49" name="Imagen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68957" y="10637030"/>
            <a:ext cx="2106957" cy="2905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6" name="Grupo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GrpSpPr/>
        </xdr:nvGrpSpPr>
        <xdr:grpSpPr>
          <a:xfrm>
            <a:off x="4796855" y="10598566"/>
            <a:ext cx="2396497" cy="315841"/>
            <a:chOff x="4390580" y="11938001"/>
            <a:chExt cx="2399685" cy="319845"/>
          </a:xfrm>
        </xdr:grpSpPr>
        <xdr:pic>
          <xdr:nvPicPr>
            <xdr:cNvPr id="44" name="Gráfico 43" descr="Marca de verificación con relleno sólido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6503158" y="11938001"/>
              <a:ext cx="287107" cy="293046"/>
            </a:xfrm>
            <a:prstGeom prst="rect">
              <a:avLst/>
            </a:prstGeom>
          </xdr:spPr>
        </xdr:pic>
        <xdr:grpSp>
          <xdr:nvGrpSpPr>
            <xdr:cNvPr id="46" name="Grupo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GrpSpPr/>
          </xdr:nvGrpSpPr>
          <xdr:grpSpPr>
            <a:xfrm>
              <a:off x="4390580" y="11976651"/>
              <a:ext cx="259138" cy="281195"/>
              <a:chOff x="4390580" y="11976651"/>
              <a:chExt cx="259138" cy="281195"/>
            </a:xfrm>
          </xdr:grpSpPr>
          <xdr:sp macro="" textlink="">
            <xdr:nvSpPr>
              <xdr:cNvPr id="47" name="Rectángulo: esquinas redondeadas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SpPr/>
            </xdr:nvSpPr>
            <xdr:spPr>
              <a:xfrm>
                <a:off x="4400825" y="11976651"/>
                <a:ext cx="248893" cy="281195"/>
              </a:xfrm>
              <a:prstGeom prst="roundRect">
                <a:avLst/>
              </a:prstGeom>
              <a:solidFill>
                <a:schemeClr val="bg2">
                  <a:lumMod val="9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pic>
            <xdr:nvPicPr>
              <xdr:cNvPr id="48" name="Gráfico 47" descr="Clip con relleno sólido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4"/>
                  </a:ext>
                </a:extLst>
              </a:blip>
              <a:stretch>
                <a:fillRect/>
              </a:stretch>
            </xdr:blipFill>
            <xdr:spPr>
              <a:xfrm>
                <a:off x="4390580" y="11994729"/>
                <a:ext cx="242863" cy="251901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>
    <xdr:from>
      <xdr:col>6</xdr:col>
      <xdr:colOff>334479</xdr:colOff>
      <xdr:row>8</xdr:row>
      <xdr:rowOff>121612</xdr:rowOff>
    </xdr:from>
    <xdr:to>
      <xdr:col>8</xdr:col>
      <xdr:colOff>1190409</xdr:colOff>
      <xdr:row>11</xdr:row>
      <xdr:rowOff>38403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323521" y="1681917"/>
          <a:ext cx="2369715" cy="311182"/>
          <a:chOff x="4801980" y="10264642"/>
          <a:chExt cx="2383105" cy="317706"/>
        </a:xfrm>
      </xdr:grpSpPr>
      <xdr:pic>
        <xdr:nvPicPr>
          <xdr:cNvPr id="50" name="Imagen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0879" y="10315373"/>
            <a:ext cx="2098674" cy="2669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1" name="Gráfico 50" descr="Marca de verificación con relleno sólido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885659" y="10264642"/>
            <a:ext cx="299426" cy="255495"/>
          </a:xfrm>
          <a:prstGeom prst="rect">
            <a:avLst/>
          </a:prstGeom>
        </xdr:spPr>
      </xdr:pic>
      <xdr:sp macro="" textlink="">
        <xdr:nvSpPr>
          <xdr:cNvPr id="53" name="Rectángulo: esquinas redondeadas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/>
        </xdr:nvSpPr>
        <xdr:spPr>
          <a:xfrm>
            <a:off x="4801980" y="10298459"/>
            <a:ext cx="248563" cy="273078"/>
          </a:xfrm>
          <a:prstGeom prst="roundRect">
            <a:avLst/>
          </a:prstGeom>
          <a:solidFill>
            <a:schemeClr val="bg2">
              <a:lumMod val="9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>
        <xdr:nvPicPr>
          <xdr:cNvPr id="52" name="Gráfico 51" descr="Clip con relleno sólido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807088" y="10313798"/>
            <a:ext cx="239365" cy="23073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90833</xdr:colOff>
          <xdr:row>65</xdr:row>
          <xdr:rowOff>167289</xdr:rowOff>
        </xdr:from>
        <xdr:to>
          <xdr:col>5</xdr:col>
          <xdr:colOff>11596</xdr:colOff>
          <xdr:row>67</xdr:row>
          <xdr:rowOff>93712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2398506" y="11668657"/>
              <a:ext cx="674480" cy="285751"/>
              <a:chOff x="2325470" y="11489244"/>
              <a:chExt cx="644685" cy="271669"/>
            </a:xfrm>
          </xdr:grpSpPr>
          <xdr:sp macro="" textlink="">
            <xdr:nvSpPr>
              <xdr:cNvPr id="2051" name="Option 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2325470" y="11512272"/>
                <a:ext cx="228598" cy="2219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s-MX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</a:t>
                </a:r>
              </a:p>
            </xdr:txBody>
          </xdr:sp>
          <xdr:sp macro="" textlink="">
            <xdr:nvSpPr>
              <xdr:cNvPr id="2052" name="Option 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2690752" y="11489244"/>
                <a:ext cx="279403" cy="27166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s-MX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298450</xdr:colOff>
          <xdr:row>67</xdr:row>
          <xdr:rowOff>127000</xdr:rowOff>
        </xdr:from>
        <xdr:to>
          <xdr:col>8</xdr:col>
          <xdr:colOff>317500</xdr:colOff>
          <xdr:row>69</xdr:row>
          <xdr:rowOff>31750</xdr:rowOff>
        </xdr:to>
        <xdr:sp macro="" textlink="">
          <xdr:nvSpPr>
            <xdr:cNvPr id="2058" name="List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66</xdr:row>
          <xdr:rowOff>12700</xdr:rowOff>
        </xdr:from>
        <xdr:to>
          <xdr:col>9</xdr:col>
          <xdr:colOff>12700</xdr:colOff>
          <xdr:row>67</xdr:row>
          <xdr:rowOff>12700</xdr:rowOff>
        </xdr:to>
        <xdr:sp macro="" textlink="">
          <xdr:nvSpPr>
            <xdr:cNvPr id="2059" name="Drop Dow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747644</xdr:colOff>
      <xdr:row>47</xdr:row>
      <xdr:rowOff>3779</xdr:rowOff>
    </xdr:from>
    <xdr:to>
      <xdr:col>8</xdr:col>
      <xdr:colOff>778843</xdr:colOff>
      <xdr:row>53</xdr:row>
      <xdr:rowOff>17445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3058492" y="8220127"/>
          <a:ext cx="3244851" cy="1057275"/>
        </a:xfrm>
        <a:prstGeom prst="rect">
          <a:avLst/>
        </a:prstGeom>
        <a:noFill/>
        <a:ln w="28575" cmpd="sng"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AGREGAR ESTOS CAMPOS:</a:t>
          </a:r>
        </a:p>
        <a:p>
          <a:endParaRPr lang="es-MX" sz="900" b="0" i="0" u="none" strike="noStrike">
            <a:solidFill>
              <a:schemeClr val="dk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-Unidad de Negocio de Compras</a:t>
          </a:r>
        </a:p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-Sitio</a:t>
          </a:r>
          <a:r>
            <a:rPr lang="es-MX" sz="900" b="0">
              <a:latin typeface="Century Gothic" panose="020B0502020202020204" pitchFamily="34" charset="0"/>
            </a:rPr>
            <a:t> </a:t>
          </a:r>
        </a:p>
        <a:p>
          <a:endParaRPr lang="es-MX" sz="900" b="0">
            <a:latin typeface="Century Gothic" panose="020B0502020202020204" pitchFamily="34" charset="0"/>
          </a:endParaRPr>
        </a:p>
        <a:p>
          <a:r>
            <a:rPr lang="es-MX" sz="900" b="1">
              <a:latin typeface="Century Gothic" panose="020B0502020202020204" pitchFamily="34" charset="0"/>
            </a:rPr>
            <a:t>P.E.</a:t>
          </a:r>
          <a:r>
            <a:rPr lang="es-MX" sz="900" b="1" baseline="0">
              <a:latin typeface="Century Gothic" panose="020B0502020202020204" pitchFamily="34" charset="0"/>
            </a:rPr>
            <a:t> BAF-MXN | BAF -USD | MARP-MXN | MARP-USD</a:t>
          </a:r>
          <a:endParaRPr lang="es-MX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737152</xdr:colOff>
      <xdr:row>81</xdr:row>
      <xdr:rowOff>157369</xdr:rowOff>
    </xdr:from>
    <xdr:to>
      <xdr:col>7</xdr:col>
      <xdr:colOff>206375</xdr:colOff>
      <xdr:row>83</xdr:row>
      <xdr:rowOff>69159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3810000" y="14618804"/>
          <a:ext cx="1158875" cy="276225"/>
        </a:xfrm>
        <a:prstGeom prst="rect">
          <a:avLst/>
        </a:prstGeom>
        <a:noFill/>
        <a:ln w="28575" cmpd="sng"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Método</a:t>
          </a:r>
          <a:r>
            <a:rPr lang="es-MX" sz="900" b="0" i="0" u="none" strike="noStrike" baseline="0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de pago</a:t>
          </a:r>
          <a:endParaRPr lang="es-MX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219709</xdr:colOff>
      <xdr:row>83</xdr:row>
      <xdr:rowOff>161850</xdr:rowOff>
    </xdr:from>
    <xdr:to>
      <xdr:col>9</xdr:col>
      <xdr:colOff>706121</xdr:colOff>
      <xdr:row>109</xdr:row>
      <xdr:rowOff>57978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216534" y="14990895"/>
          <a:ext cx="7496674" cy="4398692"/>
          <a:chOff x="219709" y="14987720"/>
          <a:chExt cx="7518347" cy="4401867"/>
        </a:xfrm>
      </xdr:grpSpPr>
      <xdr:pic>
        <xdr:nvPicPr>
          <xdr:cNvPr id="56" name="Image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8131" y="15417109"/>
            <a:ext cx="6798373" cy="39724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5035" t="46382" r="51628" b="10858"/>
          <a:stretch/>
        </xdr:blipFill>
        <xdr:spPr>
          <a:xfrm>
            <a:off x="219709" y="14987720"/>
            <a:ext cx="327960" cy="396762"/>
          </a:xfrm>
          <a:prstGeom prst="rect">
            <a:avLst/>
          </a:prstGeom>
        </xdr:spPr>
      </xdr:pic>
      <xdr:pic>
        <xdr:nvPicPr>
          <xdr:cNvPr id="26" name="Gráfico 25" descr="bolas de harvey 65% con relleno sólido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527184" y="15526095"/>
            <a:ext cx="912966" cy="960516"/>
          </a:xfrm>
          <a:prstGeom prst="rect">
            <a:avLst/>
          </a:prstGeom>
        </xdr:spPr>
      </xdr:pic>
      <xdr:sp macro="" textlink="">
        <xdr:nvSpPr>
          <xdr:cNvPr id="27" name="Bocadillo: rectángulo con esquinas redondeadas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6476872" y="15715426"/>
            <a:ext cx="1261184" cy="516512"/>
          </a:xfrm>
          <a:prstGeom prst="wedgeRoundRectCallout">
            <a:avLst>
              <a:gd name="adj1" fmla="val -55599"/>
              <a:gd name="adj2" fmla="val -12000"/>
              <a:gd name="adj3" fmla="val 16667"/>
            </a:avLst>
          </a:prstGeom>
          <a:solidFill>
            <a:schemeClr val="bg1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Una gráfica que muestre el</a:t>
            </a:r>
            <a:r>
              <a:rPr lang="es-MX" sz="700" baseline="0">
                <a:solidFill>
                  <a:sysClr val="windowText" lastClr="000000"/>
                </a:solidFill>
              </a:rPr>
              <a:t> porcentaje de cumplimiento del perfil del proveedor.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05848" y="15957412"/>
            <a:ext cx="1982719" cy="8499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5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Constancia de residencia</a:t>
            </a:r>
          </a:p>
          <a:p>
            <a:endParaRPr lang="es-MX" sz="85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endParaRPr>
          </a:p>
          <a:p>
            <a:r>
              <a:rPr lang="es-MX" sz="85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Carátula de estado</a:t>
            </a:r>
            <a:r>
              <a:rPr lang="es-MX" sz="850" baseline="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 de cuenta</a:t>
            </a:r>
          </a:p>
          <a:p>
            <a:endParaRPr lang="es-MX" sz="850" baseline="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endParaRPr>
          </a:p>
          <a:p>
            <a:r>
              <a:rPr lang="es-MX" sz="850" baseline="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Contrato (En caso de aplicar)</a:t>
            </a:r>
            <a:endParaRPr lang="es-MX" sz="85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120651</xdr:colOff>
      <xdr:row>1</xdr:row>
      <xdr:rowOff>19050</xdr:rowOff>
    </xdr:from>
    <xdr:to>
      <xdr:col>8</xdr:col>
      <xdr:colOff>28576</xdr:colOff>
      <xdr:row>12</xdr:row>
      <xdr:rowOff>9833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51" y="342900"/>
          <a:ext cx="5549900" cy="201325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83</xdr:row>
      <xdr:rowOff>57150</xdr:rowOff>
    </xdr:from>
    <xdr:to>
      <xdr:col>3</xdr:col>
      <xdr:colOff>428625</xdr:colOff>
      <xdr:row>86</xdr:row>
      <xdr:rowOff>28575</xdr:rowOff>
    </xdr:to>
    <xdr:pic>
      <xdr:nvPicPr>
        <xdr:cNvPr id="4" name="Gráfico 3" descr="Marca de insignia1 con relleno sóli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9900" y="155003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3</xdr:col>
      <xdr:colOff>647700</xdr:colOff>
      <xdr:row>69</xdr:row>
      <xdr:rowOff>76200</xdr:rowOff>
    </xdr:from>
    <xdr:to>
      <xdr:col>4</xdr:col>
      <xdr:colOff>409575</xdr:colOff>
      <xdr:row>72</xdr:row>
      <xdr:rowOff>47625</xdr:rowOff>
    </xdr:to>
    <xdr:pic>
      <xdr:nvPicPr>
        <xdr:cNvPr id="5" name="Gráfico 4" descr="Marca de insignia1 con relleno sóli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482850" y="1294130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2</xdr:col>
      <xdr:colOff>546100</xdr:colOff>
      <xdr:row>61</xdr:row>
      <xdr:rowOff>82550</xdr:rowOff>
    </xdr:from>
    <xdr:to>
      <xdr:col>3</xdr:col>
      <xdr:colOff>314325</xdr:colOff>
      <xdr:row>64</xdr:row>
      <xdr:rowOff>57150</xdr:rowOff>
    </xdr:to>
    <xdr:pic>
      <xdr:nvPicPr>
        <xdr:cNvPr id="6" name="Gráfico 5" descr="Marca de insignia1 con relleno sóli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19250" y="114744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3</xdr:col>
      <xdr:colOff>82550</xdr:colOff>
      <xdr:row>41</xdr:row>
      <xdr:rowOff>171450</xdr:rowOff>
    </xdr:from>
    <xdr:to>
      <xdr:col>3</xdr:col>
      <xdr:colOff>609600</xdr:colOff>
      <xdr:row>44</xdr:row>
      <xdr:rowOff>142875</xdr:rowOff>
    </xdr:to>
    <xdr:pic>
      <xdr:nvPicPr>
        <xdr:cNvPr id="7" name="Gráfico 6" descr="Marca de insignia1 con relleno sólid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17700" y="78803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4</xdr:col>
      <xdr:colOff>234950</xdr:colOff>
      <xdr:row>34</xdr:row>
      <xdr:rowOff>177800</xdr:rowOff>
    </xdr:from>
    <xdr:to>
      <xdr:col>5</xdr:col>
      <xdr:colOff>0</xdr:colOff>
      <xdr:row>37</xdr:row>
      <xdr:rowOff>152400</xdr:rowOff>
    </xdr:to>
    <xdr:pic>
      <xdr:nvPicPr>
        <xdr:cNvPr id="8" name="Gráfico 7" descr="Marca de insignia1 con relleno sóli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32100" y="65976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3</xdr:col>
      <xdr:colOff>533400</xdr:colOff>
      <xdr:row>31</xdr:row>
      <xdr:rowOff>44450</xdr:rowOff>
    </xdr:from>
    <xdr:to>
      <xdr:col>4</xdr:col>
      <xdr:colOff>295275</xdr:colOff>
      <xdr:row>34</xdr:row>
      <xdr:rowOff>19050</xdr:rowOff>
    </xdr:to>
    <xdr:pic>
      <xdr:nvPicPr>
        <xdr:cNvPr id="9" name="Gráfico 8" descr="Marca de insignia1 con relleno sólid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68550" y="5911850"/>
          <a:ext cx="527050" cy="527050"/>
        </a:xfrm>
        <a:prstGeom prst="rect">
          <a:avLst/>
        </a:prstGeom>
      </xdr:spPr>
    </xdr:pic>
    <xdr:clientData/>
  </xdr:twoCellAnchor>
  <xdr:twoCellAnchor>
    <xdr:from>
      <xdr:col>8</xdr:col>
      <xdr:colOff>139700</xdr:colOff>
      <xdr:row>5</xdr:row>
      <xdr:rowOff>127000</xdr:rowOff>
    </xdr:from>
    <xdr:to>
      <xdr:col>9</xdr:col>
      <xdr:colOff>529590</xdr:colOff>
      <xdr:row>9</xdr:row>
      <xdr:rowOff>177800</xdr:rowOff>
    </xdr:to>
    <xdr:sp macro="" textlink="">
      <xdr:nvSpPr>
        <xdr:cNvPr id="10" name="Bocadillo: rectángulo con esquinas redondeada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84850" y="1187450"/>
          <a:ext cx="1151890" cy="787400"/>
        </a:xfrm>
        <a:prstGeom prst="wedgeRoundRectCallout">
          <a:avLst>
            <a:gd name="adj1" fmla="val -28600"/>
            <a:gd name="adj2" fmla="val 75260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800" b="1">
              <a:solidFill>
                <a:srgbClr val="FF0000"/>
              </a:solidFill>
            </a:rPr>
            <a:t>Lo que esta en</a:t>
          </a:r>
          <a:r>
            <a:rPr lang="es-MX" sz="800" b="1" baseline="0">
              <a:solidFill>
                <a:srgbClr val="FF0000"/>
              </a:solidFill>
            </a:rPr>
            <a:t> rojo son campos que no estan contemplados en el portal de SIBAF</a:t>
          </a:r>
          <a:endParaRPr lang="es-MX" sz="8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146050</xdr:rowOff>
        </xdr:from>
        <xdr:to>
          <xdr:col>2</xdr:col>
          <xdr:colOff>914400</xdr:colOff>
          <xdr:row>47</xdr:row>
          <xdr:rowOff>6350</xdr:rowOff>
        </xdr:to>
        <xdr:sp macro="" textlink="">
          <xdr:nvSpPr>
            <xdr:cNvPr id="4097" name="Contro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146050</xdr:rowOff>
        </xdr:from>
        <xdr:to>
          <xdr:col>4</xdr:col>
          <xdr:colOff>152400</xdr:colOff>
          <xdr:row>47</xdr:row>
          <xdr:rowOff>6350</xdr:rowOff>
        </xdr:to>
        <xdr:sp macro="" textlink="">
          <xdr:nvSpPr>
            <xdr:cNvPr id="4098" name="Control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099" name="Control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00" name="Control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101" name="Control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02" name="Control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103" name="Control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04" name="Control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105" name="Control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06" name="Control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107" name="Control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08" name="Control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109" name="Control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10" name="Control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111" name="Control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12" name="Control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45</xdr:row>
          <xdr:rowOff>146050</xdr:rowOff>
        </xdr:from>
        <xdr:to>
          <xdr:col>6</xdr:col>
          <xdr:colOff>927100</xdr:colOff>
          <xdr:row>47</xdr:row>
          <xdr:rowOff>6350</xdr:rowOff>
        </xdr:to>
        <xdr:sp macro="" textlink="">
          <xdr:nvSpPr>
            <xdr:cNvPr id="4113" name="Control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45</xdr:row>
          <xdr:rowOff>146050</xdr:rowOff>
        </xdr:from>
        <xdr:to>
          <xdr:col>8</xdr:col>
          <xdr:colOff>165100</xdr:colOff>
          <xdr:row>47</xdr:row>
          <xdr:rowOff>6350</xdr:rowOff>
        </xdr:to>
        <xdr:sp macro="" textlink="">
          <xdr:nvSpPr>
            <xdr:cNvPr id="4114" name="Control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11007-9FFB-48BE-9BF8-6C46FF1374D3}" name="Tabla1" displayName="Tabla1" ref="L67:M80" totalsRowShown="0" headerRowDxfId="15" dataDxfId="14">
  <autoFilter ref="L67:M80" xr:uid="{51E11007-9FFB-48BE-9BF8-6C46FF1374D3}"/>
  <tableColumns count="2">
    <tableColumn id="1" xr3:uid="{9CBFF9A5-7186-4078-A3BC-9D34DA39B9B7}" name="PERSONA FISICA" dataDxfId="13"/>
    <tableColumn id="2" xr3:uid="{3AB9B976-9323-4FFA-8C1A-08947BC9286F}" name="PERSONA MORAL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9490F2-5FCF-4A26-858A-C99551A4AF39}" name="Tabla2" displayName="Tabla2" ref="B47:G48" totalsRowShown="0" headerRowDxfId="11" dataDxfId="10">
  <tableColumns count="6">
    <tableColumn id="1" xr3:uid="{91D15698-9575-4635-9A72-61AAE4D6D725}" name="Columna1" dataDxfId="9">
      <calculatedColumnFormula>IF(C48&lt;&gt;"","1","")</calculatedColumnFormula>
    </tableColumn>
    <tableColumn id="2" xr3:uid="{98E4F80F-9EE0-433B-8BB4-C9C3B91B7123}" name="EMPRESAS" dataDxfId="8">
      <calculatedColumnFormula array="1">INDEX(V36:V41,V42)</calculatedColumnFormula>
    </tableColumn>
    <tableColumn id="3" xr3:uid="{7D007498-05F7-4B4B-B77D-536DEA3EC028}" name="Columna2" dataDxfId="7"/>
    <tableColumn id="4" xr3:uid="{B2011D7B-B926-4811-AED1-B2C118F89B06}" name="Columna3" dataDxfId="6"/>
    <tableColumn id="5" xr3:uid="{254EE7B8-BDC4-40C7-BAE4-24B46FB1A8F8}" name="Columna4" dataDxfId="5"/>
    <tableColumn id="6" xr3:uid="{B2AA5B75-1AF3-47A8-BE82-0F08798E3274}" name="MONEDA" dataDxfId="4">
      <calculatedColumnFormula>IF(W42=1,"MXN",IF(W42=2,"USD",""))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905DD4-2673-4ADF-8982-4BCC5C2D1F6D}" name="Tabla14" displayName="Tabla14" ref="A1:B14" totalsRowShown="0" headerRowDxfId="3" dataDxfId="2">
  <autoFilter ref="A1:B14" xr:uid="{62905DD4-2673-4ADF-8982-4BCC5C2D1F6D}"/>
  <tableColumns count="2">
    <tableColumn id="1" xr3:uid="{F660D995-62D6-4AE7-8599-CCC8E9E15BD0}" name="PERSONA FISICA" dataDxfId="1"/>
    <tableColumn id="2" xr3:uid="{A1781B7F-D2D7-40DA-BF47-D59DED923EFB}" name="PERSONA MOR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1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2.xml"/><Relationship Id="rId26" Type="http://schemas.openxmlformats.org/officeDocument/2006/relationships/image" Target="../media/image56.emf"/><Relationship Id="rId3" Type="http://schemas.openxmlformats.org/officeDocument/2006/relationships/control" Target="../activeX/activeX3.xml"/><Relationship Id="rId21" Type="http://schemas.openxmlformats.org/officeDocument/2006/relationships/control" Target="../activeX/activeX14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8.xml"/><Relationship Id="rId17" Type="http://schemas.openxmlformats.org/officeDocument/2006/relationships/image" Target="../media/image53.emf"/><Relationship Id="rId25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6" Type="http://schemas.openxmlformats.org/officeDocument/2006/relationships/control" Target="../activeX/activeX11.xml"/><Relationship Id="rId20" Type="http://schemas.openxmlformats.org/officeDocument/2006/relationships/image" Target="../media/image54.emf"/><Relationship Id="rId29" Type="http://schemas.openxmlformats.org/officeDocument/2006/relationships/image" Target="../media/image57.emf"/><Relationship Id="rId1" Type="http://schemas.openxmlformats.org/officeDocument/2006/relationships/drawing" Target="../drawings/drawing4.xml"/><Relationship Id="rId6" Type="http://schemas.openxmlformats.org/officeDocument/2006/relationships/image" Target="../media/image49.emf"/><Relationship Id="rId11" Type="http://schemas.openxmlformats.org/officeDocument/2006/relationships/image" Target="../media/image51.emf"/><Relationship Id="rId24" Type="http://schemas.openxmlformats.org/officeDocument/2006/relationships/control" Target="../activeX/activeX16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10.xml"/><Relationship Id="rId23" Type="http://schemas.openxmlformats.org/officeDocument/2006/relationships/image" Target="../media/image55.emf"/><Relationship Id="rId28" Type="http://schemas.openxmlformats.org/officeDocument/2006/relationships/control" Target="../activeX/activeX19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3.xml"/><Relationship Id="rId4" Type="http://schemas.openxmlformats.org/officeDocument/2006/relationships/image" Target="../media/image48.emf"/><Relationship Id="rId9" Type="http://schemas.openxmlformats.org/officeDocument/2006/relationships/control" Target="../activeX/activeX6.xml"/><Relationship Id="rId14" Type="http://schemas.openxmlformats.org/officeDocument/2006/relationships/image" Target="../media/image52.emf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18.xml"/><Relationship Id="rId30" Type="http://schemas.openxmlformats.org/officeDocument/2006/relationships/control" Target="../activeX/activeX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9DCF-5183-402A-9776-B3D394C6C99F}">
  <sheetPr codeName="Hoja2"/>
  <dimension ref="A1:W183"/>
  <sheetViews>
    <sheetView tabSelected="1" topLeftCell="A139" zoomScale="90" zoomScaleNormal="90" workbookViewId="0">
      <selection activeCell="G104" sqref="G104"/>
    </sheetView>
  </sheetViews>
  <sheetFormatPr baseColWidth="10" defaultColWidth="10.81640625" defaultRowHeight="13.5" x14ac:dyDescent="0.25"/>
  <cols>
    <col min="1" max="1" width="4" style="1" customWidth="1"/>
    <col min="2" max="2" width="12.81640625" style="1" customWidth="1"/>
    <col min="3" max="3" width="10.54296875" style="1" customWidth="1"/>
    <col min="4" max="5" width="11.1796875" style="1" customWidth="1"/>
    <col min="6" max="6" width="13.26953125" style="1" bestFit="1" customWidth="1"/>
    <col min="7" max="7" width="13.453125" style="1" bestFit="1" customWidth="1"/>
    <col min="8" max="8" width="10.81640625" style="1"/>
    <col min="9" max="9" width="21.54296875" style="1" customWidth="1"/>
    <col min="10" max="10" width="14.54296875" style="1" customWidth="1"/>
    <col min="11" max="11" width="13.1796875" style="1" bestFit="1" customWidth="1"/>
    <col min="12" max="12" width="53" style="1" customWidth="1"/>
    <col min="13" max="13" width="73.26953125" style="1" bestFit="1" customWidth="1"/>
    <col min="14" max="15" width="11.1796875" style="1" customWidth="1"/>
    <col min="16" max="18" width="10.81640625" style="1"/>
    <col min="19" max="19" width="10.81640625" style="1" customWidth="1"/>
    <col min="20" max="20" width="1.1796875" style="1" customWidth="1"/>
    <col min="21" max="21" width="10.81640625" style="1" hidden="1" customWidth="1"/>
    <col min="22" max="16384" width="10.81640625" style="1"/>
  </cols>
  <sheetData>
    <row r="1" spans="1:11" ht="24" customHeight="1" x14ac:dyDescent="0.25">
      <c r="A1" s="98" t="s">
        <v>0</v>
      </c>
      <c r="B1" s="98"/>
      <c r="C1" s="98"/>
      <c r="D1" s="66"/>
      <c r="E1" s="66"/>
      <c r="F1" s="66"/>
      <c r="G1" s="66"/>
      <c r="H1" s="66"/>
      <c r="I1" s="66"/>
    </row>
    <row r="2" spans="1:11" x14ac:dyDescent="0.25">
      <c r="A2" s="66"/>
      <c r="B2" s="66"/>
      <c r="C2" s="66"/>
      <c r="D2" s="66"/>
      <c r="E2" s="66"/>
      <c r="F2" s="66"/>
      <c r="G2" s="66"/>
      <c r="H2" s="66"/>
      <c r="I2" s="66"/>
    </row>
    <row r="3" spans="1:11" ht="20.5" customHeight="1" x14ac:dyDescent="0.25">
      <c r="A3" s="66"/>
      <c r="B3" s="67" t="s">
        <v>1</v>
      </c>
      <c r="C3" s="122"/>
      <c r="D3" s="123"/>
      <c r="E3" s="66"/>
      <c r="F3" s="66"/>
      <c r="G3" s="66"/>
      <c r="H3" s="66"/>
      <c r="I3" s="66"/>
    </row>
    <row r="4" spans="1:11" ht="20.5" customHeight="1" x14ac:dyDescent="0.25">
      <c r="A4" s="66"/>
      <c r="B4" s="66"/>
      <c r="C4" s="124"/>
      <c r="D4" s="125"/>
      <c r="E4" s="66"/>
      <c r="F4" s="66"/>
      <c r="G4" s="66"/>
      <c r="H4" s="66"/>
      <c r="I4" s="66"/>
    </row>
    <row r="5" spans="1:11" x14ac:dyDescent="0.25">
      <c r="A5" s="66"/>
      <c r="B5" s="66"/>
      <c r="C5" s="66"/>
      <c r="D5" s="66"/>
      <c r="E5" s="66"/>
      <c r="F5" s="66"/>
      <c r="G5" s="113" t="s">
        <v>2</v>
      </c>
      <c r="H5" s="113"/>
      <c r="I5" s="113"/>
    </row>
    <row r="6" spans="1:11" x14ac:dyDescent="0.25">
      <c r="A6" s="66"/>
      <c r="B6" s="66"/>
      <c r="C6" s="66"/>
      <c r="D6" s="66"/>
      <c r="E6" s="66"/>
      <c r="F6" s="66"/>
      <c r="G6" s="66"/>
      <c r="H6" s="66"/>
      <c r="I6" s="66"/>
    </row>
    <row r="7" spans="1:11" x14ac:dyDescent="0.25">
      <c r="A7" s="66"/>
      <c r="B7" s="66"/>
      <c r="C7" s="66"/>
      <c r="D7" s="66"/>
      <c r="E7" s="66"/>
      <c r="F7" s="66"/>
      <c r="G7" s="66"/>
      <c r="H7" s="66"/>
      <c r="I7" s="66"/>
    </row>
    <row r="8" spans="1:11" ht="3" customHeight="1" x14ac:dyDescent="0.25">
      <c r="A8" s="66"/>
      <c r="B8" s="66"/>
      <c r="C8" s="66"/>
      <c r="D8" s="66"/>
      <c r="E8" s="66"/>
      <c r="F8" s="66"/>
      <c r="G8" s="66"/>
      <c r="H8" s="66"/>
      <c r="I8" s="66"/>
    </row>
    <row r="9" spans="1:11" ht="14.5" x14ac:dyDescent="0.35">
      <c r="A9" s="66"/>
      <c r="B9" s="66"/>
      <c r="C9" s="66"/>
      <c r="D9" s="66"/>
      <c r="E9" s="66"/>
      <c r="F9" s="66"/>
      <c r="G9" s="66"/>
      <c r="H9" s="66"/>
      <c r="I9" s="66"/>
      <c r="K9" s="7"/>
    </row>
    <row r="10" spans="1:11" ht="3" customHeight="1" x14ac:dyDescent="0.25">
      <c r="A10" s="66"/>
      <c r="B10" s="66"/>
      <c r="C10" s="66"/>
      <c r="D10" s="66"/>
      <c r="E10" s="66"/>
      <c r="F10" s="66"/>
      <c r="G10" s="66"/>
      <c r="H10" s="66"/>
      <c r="I10" s="66"/>
    </row>
    <row r="11" spans="1:11" x14ac:dyDescent="0.25">
      <c r="A11" s="66"/>
      <c r="B11" s="66"/>
      <c r="C11" s="66"/>
      <c r="D11" s="66"/>
      <c r="E11" s="66"/>
      <c r="F11" s="66"/>
      <c r="G11" s="66"/>
      <c r="H11" s="66"/>
      <c r="I11" s="66"/>
    </row>
    <row r="12" spans="1:11" x14ac:dyDescent="0.25">
      <c r="A12" s="66"/>
      <c r="B12" s="66"/>
      <c r="C12" s="66"/>
      <c r="D12" s="66"/>
      <c r="E12" s="66"/>
      <c r="F12" s="66"/>
      <c r="G12" s="66"/>
      <c r="H12" s="66"/>
      <c r="I12" s="66"/>
    </row>
    <row r="13" spans="1:11" x14ac:dyDescent="0.25">
      <c r="A13" s="66"/>
      <c r="B13" s="66"/>
      <c r="C13" s="66"/>
      <c r="D13" s="66"/>
      <c r="E13" s="66"/>
      <c r="F13" s="66"/>
      <c r="G13" s="66"/>
      <c r="H13" s="66"/>
      <c r="I13" s="66"/>
    </row>
    <row r="14" spans="1:11" x14ac:dyDescent="0.25">
      <c r="A14" s="66"/>
      <c r="B14" s="66"/>
      <c r="C14" s="66"/>
      <c r="D14" s="66"/>
      <c r="E14" s="66"/>
      <c r="F14" s="66"/>
      <c r="G14" s="66"/>
      <c r="H14" s="66"/>
      <c r="I14" s="66"/>
    </row>
    <row r="15" spans="1:11" x14ac:dyDescent="0.25">
      <c r="A15" s="66"/>
      <c r="B15" s="66"/>
      <c r="C15" s="66"/>
      <c r="D15" s="66"/>
      <c r="E15" s="66"/>
      <c r="F15" s="66"/>
      <c r="G15" s="66"/>
      <c r="H15" s="66"/>
      <c r="I15" s="66"/>
    </row>
    <row r="16" spans="1:11" x14ac:dyDescent="0.25">
      <c r="A16" s="66"/>
      <c r="B16" s="66"/>
      <c r="C16" s="66"/>
      <c r="D16" s="66"/>
      <c r="E16" s="66"/>
      <c r="F16" s="66"/>
      <c r="G16" s="66"/>
      <c r="H16" s="66"/>
      <c r="I16" s="66"/>
    </row>
    <row r="17" spans="1:9" x14ac:dyDescent="0.25">
      <c r="A17" s="66"/>
      <c r="B17" s="66"/>
      <c r="C17" s="66"/>
      <c r="D17" s="66"/>
      <c r="E17" s="66"/>
      <c r="F17" s="66"/>
      <c r="G17" s="66"/>
      <c r="H17" s="66"/>
      <c r="I17" s="66"/>
    </row>
    <row r="18" spans="1:9" x14ac:dyDescent="0.25">
      <c r="A18" s="66"/>
      <c r="B18" s="66"/>
      <c r="C18" s="66"/>
      <c r="D18" s="66"/>
      <c r="E18" s="66"/>
      <c r="F18" s="66"/>
      <c r="G18" s="66"/>
      <c r="H18" s="66"/>
      <c r="I18" s="66"/>
    </row>
    <row r="19" spans="1:9" ht="8.15" customHeight="1" x14ac:dyDescent="0.25">
      <c r="A19" s="66"/>
      <c r="B19" s="66"/>
      <c r="C19" s="66"/>
      <c r="D19" s="66"/>
      <c r="E19" s="66"/>
      <c r="F19" s="66"/>
      <c r="G19" s="66"/>
      <c r="H19" s="66"/>
      <c r="I19" s="66"/>
    </row>
    <row r="20" spans="1:9" ht="17.149999999999999" customHeight="1" x14ac:dyDescent="0.25">
      <c r="A20" s="66"/>
      <c r="B20" s="68" t="s">
        <v>710</v>
      </c>
      <c r="C20" s="66"/>
      <c r="D20" s="66"/>
      <c r="E20" s="66"/>
      <c r="F20" s="69" t="s">
        <v>714</v>
      </c>
      <c r="G20" s="66"/>
      <c r="H20" s="66"/>
      <c r="I20" s="66"/>
    </row>
    <row r="21" spans="1:9" x14ac:dyDescent="0.25">
      <c r="A21" s="66"/>
      <c r="B21" s="66"/>
      <c r="C21" s="66"/>
      <c r="D21" s="66"/>
      <c r="E21" s="66"/>
      <c r="F21" s="66"/>
      <c r="G21" s="66"/>
      <c r="H21" s="66"/>
      <c r="I21" s="66"/>
    </row>
    <row r="22" spans="1:9" x14ac:dyDescent="0.25">
      <c r="A22" s="66"/>
      <c r="B22" s="66"/>
      <c r="C22" s="66"/>
      <c r="D22" s="66"/>
      <c r="E22" s="66"/>
      <c r="F22" s="66"/>
      <c r="G22" s="66"/>
      <c r="H22" s="66"/>
      <c r="I22" s="66"/>
    </row>
    <row r="23" spans="1:9" x14ac:dyDescent="0.25">
      <c r="A23" s="66"/>
      <c r="B23" s="66"/>
      <c r="C23" s="66"/>
      <c r="D23" s="66"/>
      <c r="E23" s="66"/>
      <c r="F23" s="66"/>
      <c r="G23" s="66"/>
      <c r="H23" s="66"/>
      <c r="I23" s="66"/>
    </row>
    <row r="24" spans="1:9" x14ac:dyDescent="0.25">
      <c r="A24" s="66"/>
      <c r="B24" s="66"/>
      <c r="C24" s="66"/>
      <c r="D24" s="66"/>
      <c r="E24" s="66"/>
      <c r="F24" s="66"/>
      <c r="G24" s="66"/>
      <c r="H24" s="66"/>
      <c r="I24" s="66"/>
    </row>
    <row r="25" spans="1:9" x14ac:dyDescent="0.25">
      <c r="A25" s="66"/>
      <c r="B25" s="66"/>
      <c r="C25" s="66"/>
      <c r="D25" s="66"/>
      <c r="E25" s="66"/>
      <c r="F25" s="66"/>
      <c r="G25" s="66"/>
      <c r="H25" s="66"/>
      <c r="I25" s="66"/>
    </row>
    <row r="26" spans="1:9" x14ac:dyDescent="0.25">
      <c r="A26" s="66"/>
      <c r="B26" s="66"/>
      <c r="C26" s="66"/>
      <c r="D26" s="66"/>
      <c r="E26" s="66"/>
      <c r="F26" s="66"/>
      <c r="G26" s="66"/>
      <c r="H26" s="66"/>
      <c r="I26" s="66"/>
    </row>
    <row r="27" spans="1:9" x14ac:dyDescent="0.25">
      <c r="A27" s="66"/>
      <c r="B27" s="66"/>
      <c r="C27" s="66"/>
      <c r="D27" s="66"/>
      <c r="E27" s="66"/>
      <c r="F27" s="66"/>
      <c r="G27" s="66"/>
      <c r="H27" s="66"/>
      <c r="I27" s="66"/>
    </row>
    <row r="28" spans="1:9" x14ac:dyDescent="0.25">
      <c r="A28" s="66"/>
      <c r="B28" s="66"/>
      <c r="C28" s="66"/>
      <c r="D28" s="66"/>
      <c r="E28" s="66"/>
      <c r="F28" s="66"/>
      <c r="G28" s="66"/>
      <c r="H28" s="66"/>
      <c r="I28" s="66"/>
    </row>
    <row r="29" spans="1:9" x14ac:dyDescent="0.25">
      <c r="A29" s="66"/>
      <c r="B29" s="66"/>
      <c r="C29" s="66"/>
      <c r="D29" s="66"/>
      <c r="E29" s="66"/>
      <c r="F29" s="66"/>
      <c r="G29" s="66"/>
      <c r="H29" s="66"/>
      <c r="I29" s="66"/>
    </row>
    <row r="30" spans="1:9" x14ac:dyDescent="0.25">
      <c r="A30" s="66"/>
      <c r="B30" s="66"/>
      <c r="C30" s="66"/>
      <c r="D30" s="66"/>
      <c r="E30" s="66"/>
      <c r="F30" s="66"/>
      <c r="G30" s="66"/>
      <c r="H30" s="66"/>
      <c r="I30" s="66"/>
    </row>
    <row r="31" spans="1:9" x14ac:dyDescent="0.25">
      <c r="A31" s="66"/>
      <c r="B31" s="66"/>
      <c r="C31" s="66"/>
      <c r="D31" s="66"/>
      <c r="E31" s="66"/>
      <c r="F31" s="66"/>
      <c r="G31" s="66"/>
      <c r="H31" s="66"/>
      <c r="I31" s="66"/>
    </row>
    <row r="32" spans="1:9" x14ac:dyDescent="0.25">
      <c r="A32" s="66"/>
      <c r="B32" s="66"/>
      <c r="C32" s="66"/>
      <c r="D32" s="66"/>
      <c r="E32" s="66"/>
      <c r="F32" s="66"/>
      <c r="G32" s="66"/>
      <c r="H32" s="66"/>
      <c r="I32" s="66"/>
    </row>
    <row r="33" spans="1:23" x14ac:dyDescent="0.25">
      <c r="A33" s="66"/>
      <c r="B33" s="66"/>
      <c r="C33" s="66"/>
      <c r="D33" s="66"/>
      <c r="E33" s="66"/>
      <c r="F33" s="66"/>
      <c r="G33" s="66"/>
      <c r="H33" s="66"/>
      <c r="I33" s="66"/>
    </row>
    <row r="34" spans="1:23" x14ac:dyDescent="0.25">
      <c r="A34" s="66"/>
      <c r="B34" s="66"/>
      <c r="C34" s="66"/>
      <c r="D34" s="66"/>
      <c r="E34" s="66"/>
      <c r="F34" s="66"/>
      <c r="G34" s="66"/>
      <c r="H34" s="66"/>
      <c r="I34" s="66"/>
      <c r="M34" s="34" t="s">
        <v>249</v>
      </c>
      <c r="N34" s="34" t="s">
        <v>272</v>
      </c>
      <c r="O34" s="34" t="s">
        <v>271</v>
      </c>
      <c r="P34" s="116" t="s">
        <v>250</v>
      </c>
      <c r="Q34" s="117"/>
      <c r="R34" s="117"/>
      <c r="S34" s="117"/>
      <c r="T34" s="117"/>
      <c r="U34" s="118"/>
    </row>
    <row r="35" spans="1:23" ht="14.5" x14ac:dyDescent="0.25">
      <c r="A35" s="66"/>
      <c r="B35" s="66"/>
      <c r="C35" s="66"/>
      <c r="D35" s="66"/>
      <c r="E35" s="66"/>
      <c r="F35" s="66"/>
      <c r="G35" s="66"/>
      <c r="H35" s="66"/>
      <c r="I35" s="66"/>
      <c r="M35" s="35"/>
      <c r="N35" s="35"/>
      <c r="O35" s="35"/>
      <c r="P35" s="119" t="s">
        <v>251</v>
      </c>
      <c r="Q35" s="120"/>
      <c r="R35" s="120"/>
      <c r="S35" s="120"/>
      <c r="T35" s="120"/>
      <c r="U35" s="121"/>
    </row>
    <row r="36" spans="1:23" x14ac:dyDescent="0.25">
      <c r="A36" s="66"/>
      <c r="B36" s="66"/>
      <c r="C36" s="66"/>
      <c r="D36" s="66"/>
      <c r="E36" s="66"/>
      <c r="F36" s="66"/>
      <c r="G36" s="66"/>
      <c r="H36" s="66"/>
      <c r="I36" s="66"/>
      <c r="M36" s="36" t="s">
        <v>252</v>
      </c>
      <c r="N36" s="36" t="s">
        <v>264</v>
      </c>
      <c r="O36" s="36" t="s">
        <v>270</v>
      </c>
      <c r="P36" s="119" t="s">
        <v>253</v>
      </c>
      <c r="Q36" s="120"/>
      <c r="R36" s="120"/>
      <c r="S36" s="120"/>
      <c r="T36" s="120"/>
      <c r="U36" s="121"/>
      <c r="V36" s="1" t="str">
        <f>CONCATENATE(N36," | ",P36)</f>
        <v xml:space="preserve">BAF | BAJA AQUA-FARMS SA DE CV </v>
      </c>
    </row>
    <row r="37" spans="1:23" x14ac:dyDescent="0.25">
      <c r="A37" s="66"/>
      <c r="B37" s="66"/>
      <c r="C37" s="66"/>
      <c r="D37" s="66"/>
      <c r="E37" s="66"/>
      <c r="F37" s="66"/>
      <c r="G37" s="66"/>
      <c r="H37" s="66"/>
      <c r="I37" s="66"/>
      <c r="M37" s="36" t="s">
        <v>254</v>
      </c>
      <c r="N37" s="36" t="s">
        <v>265</v>
      </c>
      <c r="O37" s="36" t="s">
        <v>270</v>
      </c>
      <c r="P37" s="119" t="s">
        <v>255</v>
      </c>
      <c r="Q37" s="120"/>
      <c r="R37" s="120"/>
      <c r="S37" s="120"/>
      <c r="T37" s="120"/>
      <c r="U37" s="121"/>
      <c r="V37" s="1" t="str">
        <f t="shared" ref="V37:V41" si="0">CONCATENATE(N37," | ",P37)</f>
        <v xml:space="preserve">MARP | MARPESCA SA DE CV </v>
      </c>
    </row>
    <row r="38" spans="1:23" x14ac:dyDescent="0.25">
      <c r="A38" s="66"/>
      <c r="B38" s="66"/>
      <c r="C38" s="66"/>
      <c r="D38" s="66"/>
      <c r="E38" s="66"/>
      <c r="F38" s="66"/>
      <c r="G38" s="66"/>
      <c r="H38" s="66"/>
      <c r="I38" s="66"/>
      <c r="M38" s="36" t="s">
        <v>256</v>
      </c>
      <c r="N38" s="36" t="s">
        <v>266</v>
      </c>
      <c r="O38" s="36" t="s">
        <v>270</v>
      </c>
      <c r="P38" s="119" t="s">
        <v>257</v>
      </c>
      <c r="Q38" s="120"/>
      <c r="R38" s="120"/>
      <c r="S38" s="120"/>
      <c r="T38" s="120"/>
      <c r="U38" s="121"/>
      <c r="V38" s="1" t="str">
        <f t="shared" si="0"/>
        <v xml:space="preserve">AOP | ATUN OCEANO PACIFICO SA DE CV </v>
      </c>
    </row>
    <row r="39" spans="1:23" x14ac:dyDescent="0.25">
      <c r="A39" s="66"/>
      <c r="B39" s="66"/>
      <c r="C39" s="66"/>
      <c r="D39" s="66"/>
      <c r="E39" s="66"/>
      <c r="F39" s="66"/>
      <c r="G39" s="66"/>
      <c r="H39" s="66"/>
      <c r="I39" s="66"/>
      <c r="M39" s="36" t="s">
        <v>258</v>
      </c>
      <c r="N39" s="36" t="s">
        <v>267</v>
      </c>
      <c r="O39" s="36" t="s">
        <v>270</v>
      </c>
      <c r="P39" s="119" t="s">
        <v>259</v>
      </c>
      <c r="Q39" s="120"/>
      <c r="R39" s="120"/>
      <c r="S39" s="120"/>
      <c r="T39" s="120"/>
      <c r="U39" s="121"/>
      <c r="V39" s="1" t="str">
        <f t="shared" si="0"/>
        <v xml:space="preserve">APN | ADMINISTRADORA PESQUERA DEL NOROESTE SA DE CV </v>
      </c>
    </row>
    <row r="40" spans="1:23" x14ac:dyDescent="0.25">
      <c r="A40" s="66"/>
      <c r="B40" s="66"/>
      <c r="C40" s="66"/>
      <c r="D40" s="66"/>
      <c r="E40" s="66"/>
      <c r="F40" s="66"/>
      <c r="G40" s="66"/>
      <c r="H40" s="66"/>
      <c r="I40" s="66"/>
      <c r="M40" s="36" t="s">
        <v>260</v>
      </c>
      <c r="N40" s="36" t="s">
        <v>268</v>
      </c>
      <c r="O40" s="36" t="s">
        <v>270</v>
      </c>
      <c r="P40" s="119" t="s">
        <v>261</v>
      </c>
      <c r="Q40" s="120"/>
      <c r="R40" s="120"/>
      <c r="S40" s="120"/>
      <c r="T40" s="120"/>
      <c r="U40" s="121"/>
      <c r="V40" s="1" t="str">
        <f t="shared" si="0"/>
        <v xml:space="preserve">TMX | TUNAMAX SA DE CV </v>
      </c>
    </row>
    <row r="41" spans="1:23" x14ac:dyDescent="0.25">
      <c r="A41" s="66"/>
      <c r="B41" s="66"/>
      <c r="C41" s="66"/>
      <c r="D41" s="66"/>
      <c r="E41" s="66"/>
      <c r="F41" s="66"/>
      <c r="G41" s="66"/>
      <c r="H41" s="66"/>
      <c r="I41" s="66"/>
      <c r="M41" s="36" t="s">
        <v>262</v>
      </c>
      <c r="N41" s="36" t="s">
        <v>269</v>
      </c>
      <c r="O41" s="36" t="s">
        <v>270</v>
      </c>
      <c r="P41" s="119" t="s">
        <v>263</v>
      </c>
      <c r="Q41" s="120"/>
      <c r="R41" s="120"/>
      <c r="S41" s="120"/>
      <c r="T41" s="120"/>
      <c r="U41" s="121"/>
      <c r="V41" s="1" t="str">
        <f t="shared" si="0"/>
        <v xml:space="preserve">SABAF | SERVICIOS ADMINISTRATIVOS BAF SRL DE CV </v>
      </c>
    </row>
    <row r="42" spans="1:23" x14ac:dyDescent="0.25">
      <c r="A42" s="66"/>
      <c r="B42" s="66"/>
      <c r="C42" s="66"/>
      <c r="D42" s="66"/>
      <c r="E42" s="66"/>
      <c r="F42" s="66"/>
      <c r="G42" s="66"/>
      <c r="H42" s="66"/>
      <c r="I42" s="66"/>
      <c r="V42" s="1">
        <v>2</v>
      </c>
      <c r="W42" s="1">
        <v>1</v>
      </c>
    </row>
    <row r="43" spans="1:23" x14ac:dyDescent="0.25">
      <c r="A43" s="66"/>
      <c r="B43" s="66"/>
      <c r="C43" s="66"/>
      <c r="D43" s="66"/>
      <c r="E43" s="66"/>
      <c r="F43" s="66"/>
      <c r="G43" s="66"/>
      <c r="H43" s="66"/>
      <c r="I43" s="66"/>
    </row>
    <row r="44" spans="1:23" x14ac:dyDescent="0.25">
      <c r="A44" s="66"/>
      <c r="B44" s="66"/>
      <c r="C44" s="66"/>
      <c r="D44" s="66"/>
      <c r="E44" s="66"/>
      <c r="F44" s="66"/>
      <c r="G44" s="66"/>
      <c r="H44" s="66"/>
      <c r="I44" s="66"/>
    </row>
    <row r="45" spans="1:23" x14ac:dyDescent="0.25">
      <c r="A45" s="66"/>
      <c r="B45" s="66"/>
      <c r="C45" s="66"/>
      <c r="D45" s="66"/>
      <c r="E45" s="66"/>
      <c r="F45" s="66"/>
      <c r="G45" s="66"/>
      <c r="H45" s="66"/>
      <c r="I45" s="66"/>
      <c r="M45" s="36" t="s">
        <v>252</v>
      </c>
      <c r="N45" s="36" t="s">
        <v>264</v>
      </c>
      <c r="O45" s="36" t="s">
        <v>270</v>
      </c>
      <c r="P45" s="119" t="s">
        <v>253</v>
      </c>
      <c r="Q45" s="120"/>
      <c r="R45" s="120"/>
      <c r="S45" s="120"/>
      <c r="T45" s="120"/>
      <c r="U45" s="121"/>
    </row>
    <row r="46" spans="1:23" x14ac:dyDescent="0.25">
      <c r="A46" s="66"/>
      <c r="B46" s="66"/>
      <c r="C46" s="66"/>
      <c r="D46" s="66"/>
      <c r="E46" s="66"/>
      <c r="F46" s="66"/>
      <c r="G46" s="66"/>
      <c r="H46" s="66"/>
      <c r="I46" s="66"/>
    </row>
    <row r="47" spans="1:23" x14ac:dyDescent="0.25">
      <c r="A47" s="66"/>
      <c r="B47" s="73" t="s">
        <v>706</v>
      </c>
      <c r="C47" s="72" t="s">
        <v>704</v>
      </c>
      <c r="D47" s="74" t="s">
        <v>707</v>
      </c>
      <c r="E47" s="74" t="s">
        <v>708</v>
      </c>
      <c r="F47" s="74" t="s">
        <v>709</v>
      </c>
      <c r="G47" s="72" t="s">
        <v>705</v>
      </c>
      <c r="H47" s="66"/>
      <c r="I47" s="66"/>
      <c r="N47" s="1" t="s">
        <v>273</v>
      </c>
      <c r="P47" s="1" t="s">
        <v>275</v>
      </c>
    </row>
    <row r="48" spans="1:23" x14ac:dyDescent="0.25">
      <c r="A48" s="66"/>
      <c r="B48" s="70" t="str">
        <f>IF(C48&lt;&gt;"","1","")</f>
        <v>1</v>
      </c>
      <c r="C48" s="71" t="str" cm="1">
        <f t="array" ref="C48">INDEX(V36:V41,V42)</f>
        <v xml:space="preserve">MARP | MARPESCA SA DE CV </v>
      </c>
      <c r="D48" s="66"/>
      <c r="E48" s="66"/>
      <c r="F48" s="66"/>
      <c r="G48" s="71" t="str">
        <f>IF(W42=1,"MXN",IF(W42=2,"USD",""))</f>
        <v>MXN</v>
      </c>
      <c r="H48" s="66"/>
      <c r="I48" s="66"/>
    </row>
    <row r="49" spans="1:21" ht="14" x14ac:dyDescent="0.3">
      <c r="A49" s="66"/>
      <c r="B49" s="66"/>
      <c r="C49" s="66"/>
      <c r="D49" s="66"/>
      <c r="E49" s="66"/>
      <c r="F49" s="66"/>
      <c r="G49" s="66"/>
      <c r="H49" s="66"/>
      <c r="I49" s="66"/>
      <c r="J49" s="93" t="s">
        <v>726</v>
      </c>
      <c r="M49" s="36" t="s">
        <v>254</v>
      </c>
      <c r="N49" s="36" t="s">
        <v>265</v>
      </c>
      <c r="O49" s="36" t="s">
        <v>270</v>
      </c>
      <c r="P49" s="119" t="s">
        <v>255</v>
      </c>
      <c r="Q49" s="120"/>
      <c r="R49" s="120"/>
      <c r="S49" s="120"/>
      <c r="T49" s="120"/>
      <c r="U49" s="121"/>
    </row>
    <row r="50" spans="1:21" x14ac:dyDescent="0.25">
      <c r="A50" s="66"/>
      <c r="B50" s="66"/>
      <c r="C50" s="66"/>
      <c r="D50" s="66"/>
      <c r="E50" s="66"/>
      <c r="F50" s="66"/>
      <c r="G50" s="66"/>
      <c r="H50" s="66"/>
      <c r="I50" s="66"/>
    </row>
    <row r="51" spans="1:21" x14ac:dyDescent="0.25">
      <c r="N51" s="1" t="s">
        <v>273</v>
      </c>
      <c r="P51" s="1" t="s">
        <v>274</v>
      </c>
    </row>
    <row r="54" spans="1:21" x14ac:dyDescent="0.25">
      <c r="L54" s="2" t="s">
        <v>3</v>
      </c>
    </row>
    <row r="59" spans="1:21" ht="32.15" customHeight="1" x14ac:dyDescent="0.25"/>
    <row r="62" spans="1:21" x14ac:dyDescent="0.25">
      <c r="B62" s="3" t="s">
        <v>4</v>
      </c>
      <c r="F62" s="3" t="s">
        <v>5</v>
      </c>
      <c r="H62" s="62"/>
    </row>
    <row r="63" spans="1:21" ht="4.5" customHeight="1" x14ac:dyDescent="0.25"/>
    <row r="64" spans="1:21" ht="17.149999999999999" customHeight="1" x14ac:dyDescent="0.25">
      <c r="B64" s="109" t="s">
        <v>728</v>
      </c>
      <c r="C64" s="110"/>
      <c r="D64" s="111"/>
      <c r="F64" s="109" t="str">
        <f>IF(LEN(B64)=13,"PERSONA FISICA",IF(LEN(B64)=12,"PERSONA MORAL","RFC INCORRECTO"))</f>
        <v>RFC INCORRECTO</v>
      </c>
      <c r="G64" s="110"/>
      <c r="H64" s="111"/>
      <c r="L64" s="5" t="s">
        <v>6</v>
      </c>
    </row>
    <row r="65" spans="1:15" ht="14" x14ac:dyDescent="0.3">
      <c r="J65" s="6"/>
      <c r="L65" s="5" t="s">
        <v>7</v>
      </c>
    </row>
    <row r="66" spans="1:15" x14ac:dyDescent="0.25">
      <c r="G66" s="3" t="s">
        <v>8</v>
      </c>
    </row>
    <row r="67" spans="1:15" ht="18" customHeight="1" x14ac:dyDescent="0.25">
      <c r="A67" s="62"/>
      <c r="G67" s="109" t="s">
        <v>11</v>
      </c>
      <c r="H67" s="110"/>
      <c r="I67" s="111"/>
      <c r="L67" s="8" t="s">
        <v>6</v>
      </c>
      <c r="M67" s="8" t="s">
        <v>7</v>
      </c>
      <c r="N67" s="8"/>
      <c r="O67" s="8"/>
    </row>
    <row r="68" spans="1:15" ht="14" x14ac:dyDescent="0.3">
      <c r="J68" s="6"/>
      <c r="L68" s="6" t="s">
        <v>10</v>
      </c>
      <c r="M68" s="6" t="s">
        <v>11</v>
      </c>
      <c r="N68" s="6"/>
      <c r="O68" s="6"/>
    </row>
    <row r="69" spans="1:15" ht="14" x14ac:dyDescent="0.3">
      <c r="L69" s="6" t="s">
        <v>9</v>
      </c>
      <c r="M69" s="6" t="s">
        <v>12</v>
      </c>
      <c r="N69" s="6"/>
      <c r="O69" s="6"/>
    </row>
    <row r="70" spans="1:15" ht="14" x14ac:dyDescent="0.3">
      <c r="L70" s="6" t="s">
        <v>13</v>
      </c>
      <c r="M70" s="6" t="s">
        <v>14</v>
      </c>
      <c r="N70" s="6"/>
      <c r="O70" s="6"/>
    </row>
    <row r="71" spans="1:15" ht="14" x14ac:dyDescent="0.3">
      <c r="G71" s="3" t="s">
        <v>15</v>
      </c>
      <c r="L71" s="6" t="s">
        <v>16</v>
      </c>
      <c r="M71" s="6" t="s">
        <v>17</v>
      </c>
      <c r="N71" s="6"/>
      <c r="O71" s="6"/>
    </row>
    <row r="72" spans="1:15" ht="14" x14ac:dyDescent="0.3">
      <c r="L72" s="6" t="s">
        <v>14</v>
      </c>
      <c r="M72" s="6" t="s">
        <v>18</v>
      </c>
      <c r="N72" s="6"/>
      <c r="O72" s="6"/>
    </row>
    <row r="73" spans="1:15" ht="14" x14ac:dyDescent="0.3">
      <c r="L73" s="6" t="s">
        <v>19</v>
      </c>
      <c r="M73" s="6" t="s">
        <v>20</v>
      </c>
      <c r="N73" s="6"/>
      <c r="O73" s="6"/>
    </row>
    <row r="74" spans="1:15" ht="14" x14ac:dyDescent="0.3">
      <c r="L74" s="6" t="s">
        <v>21</v>
      </c>
      <c r="M74" s="6" t="s">
        <v>22</v>
      </c>
      <c r="N74" s="6"/>
      <c r="O74" s="6"/>
    </row>
    <row r="75" spans="1:15" ht="14" x14ac:dyDescent="0.3">
      <c r="L75" s="6" t="s">
        <v>23</v>
      </c>
      <c r="M75" s="6" t="s">
        <v>24</v>
      </c>
      <c r="N75" s="6"/>
      <c r="O75" s="6"/>
    </row>
    <row r="76" spans="1:15" ht="14" x14ac:dyDescent="0.3">
      <c r="L76" s="6" t="s">
        <v>25</v>
      </c>
    </row>
    <row r="77" spans="1:15" ht="14" x14ac:dyDescent="0.3">
      <c r="L77" s="6" t="s">
        <v>26</v>
      </c>
    </row>
    <row r="78" spans="1:15" ht="14" x14ac:dyDescent="0.3">
      <c r="L78" s="6" t="s">
        <v>27</v>
      </c>
    </row>
    <row r="79" spans="1:15" ht="14" x14ac:dyDescent="0.3">
      <c r="L79" s="6" t="s">
        <v>28</v>
      </c>
    </row>
    <row r="80" spans="1:15" ht="14" x14ac:dyDescent="0.3">
      <c r="L80" s="6" t="s">
        <v>24</v>
      </c>
    </row>
    <row r="83" spans="2:12" ht="20.149999999999999" customHeight="1" x14ac:dyDescent="0.25">
      <c r="L83" s="57"/>
    </row>
    <row r="84" spans="2:12" ht="20.149999999999999" customHeight="1" x14ac:dyDescent="0.25"/>
    <row r="85" spans="2:12" ht="20.149999999999999" customHeight="1" x14ac:dyDescent="0.25"/>
    <row r="86" spans="2:12" ht="20.149999999999999" customHeight="1" x14ac:dyDescent="0.25"/>
    <row r="88" spans="2:12" ht="21" customHeight="1" x14ac:dyDescent="0.25">
      <c r="B88" s="114" t="s">
        <v>29</v>
      </c>
      <c r="C88" s="114"/>
      <c r="D88" s="114"/>
      <c r="E88" s="114"/>
      <c r="F88" s="114"/>
      <c r="G88" s="114"/>
      <c r="H88" s="114"/>
    </row>
    <row r="89" spans="2:12" ht="21" customHeight="1" x14ac:dyDescent="0.25">
      <c r="B89" s="114" t="s">
        <v>30</v>
      </c>
      <c r="C89" s="114"/>
      <c r="D89" s="114"/>
      <c r="E89" s="114"/>
      <c r="F89" s="114"/>
      <c r="G89" s="114"/>
      <c r="H89" s="114"/>
      <c r="I89" s="114"/>
    </row>
    <row r="90" spans="2:12" ht="21" customHeight="1" x14ac:dyDescent="0.25">
      <c r="B90" s="112" t="s">
        <v>31</v>
      </c>
      <c r="C90" s="112"/>
      <c r="D90" s="112"/>
      <c r="E90" s="112"/>
      <c r="F90" s="75"/>
      <c r="G90" s="75"/>
      <c r="H90" s="75"/>
      <c r="I90" s="75"/>
    </row>
    <row r="91" spans="2:12" ht="21" customHeight="1" x14ac:dyDescent="0.25">
      <c r="B91" s="115" t="s">
        <v>32</v>
      </c>
      <c r="C91" s="115"/>
      <c r="D91" s="115"/>
      <c r="E91" s="115"/>
      <c r="F91" s="115"/>
      <c r="G91" s="115"/>
      <c r="H91" s="115"/>
      <c r="I91" s="115"/>
      <c r="J91" s="28"/>
    </row>
    <row r="92" spans="2:12" ht="21" customHeight="1" x14ac:dyDescent="0.25">
      <c r="B92" s="115"/>
      <c r="C92" s="115"/>
      <c r="D92" s="115"/>
      <c r="E92" s="115"/>
      <c r="F92" s="115"/>
      <c r="G92" s="115"/>
      <c r="H92" s="115"/>
      <c r="I92" s="115"/>
      <c r="J92" s="28"/>
    </row>
    <row r="93" spans="2:12" ht="21" customHeight="1" x14ac:dyDescent="0.25">
      <c r="B93" s="112" t="s">
        <v>33</v>
      </c>
      <c r="C93" s="112"/>
      <c r="D93" s="112"/>
      <c r="E93" s="112"/>
      <c r="F93" s="76"/>
      <c r="G93" s="76"/>
      <c r="H93" s="76"/>
      <c r="I93" s="76"/>
    </row>
    <row r="94" spans="2:12" ht="21" customHeight="1" x14ac:dyDescent="0.35">
      <c r="B94" s="112" t="s">
        <v>34</v>
      </c>
      <c r="C94" s="112"/>
      <c r="D94" s="112"/>
      <c r="E94" s="112"/>
      <c r="F94" s="76"/>
      <c r="G94" s="76"/>
      <c r="H94" s="76"/>
      <c r="I94" s="76"/>
      <c r="L94" s="18"/>
    </row>
    <row r="95" spans="2:12" ht="21" customHeight="1" x14ac:dyDescent="0.35">
      <c r="B95" s="87"/>
      <c r="C95" s="87"/>
      <c r="D95" s="87"/>
      <c r="E95" s="87"/>
      <c r="F95" s="76"/>
      <c r="G95" s="76"/>
      <c r="H95" s="76"/>
      <c r="I95" s="76"/>
      <c r="L95" s="18"/>
    </row>
    <row r="96" spans="2:12" ht="21" customHeight="1" x14ac:dyDescent="0.35">
      <c r="B96" s="88" t="s">
        <v>715</v>
      </c>
      <c r="C96" s="87"/>
      <c r="D96" s="87"/>
      <c r="E96" s="87"/>
      <c r="F96" s="76"/>
      <c r="G96" s="76"/>
      <c r="H96" s="76"/>
      <c r="I96" s="76"/>
      <c r="L96" s="18"/>
    </row>
    <row r="97" spans="2:12" ht="21" customHeight="1" x14ac:dyDescent="0.35">
      <c r="B97" s="88" t="s">
        <v>716</v>
      </c>
      <c r="C97" s="87"/>
      <c r="D97" s="87"/>
      <c r="E97" s="87"/>
      <c r="F97" s="76"/>
      <c r="G97" s="76"/>
      <c r="H97" s="76"/>
      <c r="I97" s="76"/>
      <c r="L97" s="18"/>
    </row>
    <row r="98" spans="2:12" ht="21" customHeight="1" x14ac:dyDescent="0.35">
      <c r="B98" s="88" t="s">
        <v>717</v>
      </c>
      <c r="C98" s="87"/>
      <c r="D98" s="87"/>
      <c r="E98" s="87"/>
      <c r="F98" s="76"/>
      <c r="G98" s="76"/>
      <c r="H98" s="76"/>
      <c r="I98" s="76"/>
      <c r="L98" s="18"/>
    </row>
    <row r="99" spans="2:12" ht="21" customHeight="1" x14ac:dyDescent="0.25">
      <c r="B99" s="88" t="s">
        <v>718</v>
      </c>
      <c r="C99" s="87"/>
      <c r="D99" s="87"/>
      <c r="E99" s="87"/>
      <c r="F99" s="76"/>
      <c r="G99" s="76"/>
      <c r="H99" s="76"/>
      <c r="I99" s="76"/>
      <c r="L99" s="63" t="s">
        <v>700</v>
      </c>
    </row>
    <row r="100" spans="2:12" ht="21" customHeight="1" x14ac:dyDescent="0.35">
      <c r="B100" s="88" t="s">
        <v>719</v>
      </c>
      <c r="C100" s="87"/>
      <c r="D100" s="87"/>
      <c r="E100" s="87"/>
      <c r="F100" s="76"/>
      <c r="G100" s="76"/>
      <c r="H100" s="76"/>
      <c r="I100" s="76"/>
      <c r="L100" s="18"/>
    </row>
    <row r="101" spans="2:12" ht="21" customHeight="1" x14ac:dyDescent="0.35">
      <c r="B101" s="88" t="s">
        <v>720</v>
      </c>
      <c r="C101" s="87"/>
      <c r="D101" s="87"/>
      <c r="E101" s="87"/>
      <c r="F101" s="76"/>
      <c r="G101" s="76"/>
      <c r="H101" s="76"/>
      <c r="I101" s="76"/>
      <c r="L101" s="18"/>
    </row>
    <row r="102" spans="2:12" ht="21" customHeight="1" x14ac:dyDescent="0.35">
      <c r="B102" s="89" t="s">
        <v>721</v>
      </c>
      <c r="C102" s="87"/>
      <c r="D102" s="87"/>
      <c r="E102" s="87"/>
      <c r="F102" s="76"/>
      <c r="G102" s="76"/>
      <c r="H102" s="76"/>
      <c r="I102" s="76"/>
      <c r="L102" s="18"/>
    </row>
    <row r="103" spans="2:12" ht="21" customHeight="1" x14ac:dyDescent="0.35">
      <c r="B103" s="90" t="s">
        <v>722</v>
      </c>
      <c r="C103" s="87"/>
      <c r="D103" s="87"/>
      <c r="E103" s="87"/>
      <c r="F103" s="76"/>
      <c r="G103" s="76"/>
      <c r="H103" s="76"/>
      <c r="I103" s="76"/>
    </row>
    <row r="104" spans="2:12" ht="21" customHeight="1" x14ac:dyDescent="0.35">
      <c r="B104" s="90" t="s">
        <v>723</v>
      </c>
      <c r="C104" s="87"/>
      <c r="D104" s="87"/>
      <c r="E104" s="87"/>
      <c r="F104" s="76"/>
      <c r="G104" s="76"/>
      <c r="H104" s="76"/>
      <c r="I104" s="76"/>
      <c r="L104" s="18"/>
    </row>
    <row r="105" spans="2:12" ht="21" customHeight="1" x14ac:dyDescent="0.35">
      <c r="B105" s="90" t="s">
        <v>724</v>
      </c>
      <c r="C105" s="87"/>
      <c r="D105" s="87"/>
      <c r="E105" s="87"/>
      <c r="F105" s="76"/>
      <c r="G105" s="76"/>
      <c r="H105" s="76"/>
      <c r="I105" s="76"/>
      <c r="L105" s="18"/>
    </row>
    <row r="106" spans="2:12" ht="16.5" x14ac:dyDescent="0.45">
      <c r="B106" s="91" t="s">
        <v>725</v>
      </c>
      <c r="L106" s="18"/>
    </row>
    <row r="107" spans="2:12" ht="14.5" x14ac:dyDescent="0.35">
      <c r="B107" s="92" t="s">
        <v>722</v>
      </c>
      <c r="L107" s="18"/>
    </row>
    <row r="108" spans="2:12" ht="14.5" x14ac:dyDescent="0.35">
      <c r="B108" s="92" t="s">
        <v>723</v>
      </c>
    </row>
    <row r="109" spans="2:12" ht="14.5" x14ac:dyDescent="0.35">
      <c r="B109" s="92" t="s">
        <v>724</v>
      </c>
    </row>
    <row r="125" spans="12:13" x14ac:dyDescent="0.25">
      <c r="L125" s="97" t="s">
        <v>311</v>
      </c>
      <c r="M125" s="97" t="s">
        <v>312</v>
      </c>
    </row>
    <row r="126" spans="12:13" ht="14" x14ac:dyDescent="0.3">
      <c r="L126" s="96" t="s">
        <v>313</v>
      </c>
      <c r="M126" s="96" t="s">
        <v>314</v>
      </c>
    </row>
    <row r="127" spans="12:13" ht="14" x14ac:dyDescent="0.3">
      <c r="L127" s="96" t="s">
        <v>317</v>
      </c>
      <c r="M127" s="96" t="s">
        <v>318</v>
      </c>
    </row>
    <row r="128" spans="12:13" ht="14" x14ac:dyDescent="0.3">
      <c r="L128" s="96" t="s">
        <v>320</v>
      </c>
      <c r="M128" s="96" t="s">
        <v>321</v>
      </c>
    </row>
    <row r="129" spans="1:13" ht="14" x14ac:dyDescent="0.3">
      <c r="L129" s="96" t="s">
        <v>323</v>
      </c>
      <c r="M129" s="96" t="s">
        <v>324</v>
      </c>
    </row>
    <row r="130" spans="1:13" ht="14" x14ac:dyDescent="0.3">
      <c r="L130" s="96" t="s">
        <v>326</v>
      </c>
      <c r="M130" s="96" t="s">
        <v>327</v>
      </c>
    </row>
    <row r="131" spans="1:13" ht="14" x14ac:dyDescent="0.3">
      <c r="L131" s="96" t="s">
        <v>329</v>
      </c>
      <c r="M131" s="96" t="s">
        <v>330</v>
      </c>
    </row>
    <row r="132" spans="1:13" ht="14" x14ac:dyDescent="0.3">
      <c r="L132" s="96" t="s">
        <v>332</v>
      </c>
      <c r="M132" s="96" t="s">
        <v>333</v>
      </c>
    </row>
    <row r="133" spans="1:13" ht="14" x14ac:dyDescent="0.3">
      <c r="L133" s="96" t="s">
        <v>335</v>
      </c>
      <c r="M133" s="96" t="s">
        <v>336</v>
      </c>
    </row>
    <row r="134" spans="1:13" ht="14" x14ac:dyDescent="0.3">
      <c r="L134" s="96" t="s">
        <v>338</v>
      </c>
      <c r="M134" s="96" t="s">
        <v>339</v>
      </c>
    </row>
    <row r="135" spans="1:13" ht="14.5" thickBot="1" x14ac:dyDescent="0.35">
      <c r="L135" s="96" t="s">
        <v>341</v>
      </c>
      <c r="M135" s="96" t="s">
        <v>342</v>
      </c>
    </row>
    <row r="136" spans="1:13" ht="14" x14ac:dyDescent="0.3">
      <c r="A136" s="77"/>
      <c r="B136" s="78"/>
      <c r="C136" s="78"/>
      <c r="D136" s="78"/>
      <c r="E136" s="78"/>
      <c r="F136" s="78"/>
      <c r="G136" s="78"/>
      <c r="H136" s="78"/>
      <c r="I136" s="78"/>
      <c r="J136" s="79"/>
      <c r="L136" s="96" t="s">
        <v>344</v>
      </c>
      <c r="M136" s="96" t="s">
        <v>345</v>
      </c>
    </row>
    <row r="137" spans="1:13" ht="14" x14ac:dyDescent="0.3">
      <c r="A137" s="80"/>
      <c r="B137" s="81"/>
      <c r="C137" s="81"/>
      <c r="D137" s="81"/>
      <c r="E137" s="81"/>
      <c r="F137" s="81"/>
      <c r="G137" s="81"/>
      <c r="H137" s="81"/>
      <c r="I137" s="81"/>
      <c r="J137" s="82"/>
      <c r="L137" s="96" t="s">
        <v>347</v>
      </c>
      <c r="M137" s="96" t="s">
        <v>348</v>
      </c>
    </row>
    <row r="138" spans="1:13" ht="14" x14ac:dyDescent="0.3">
      <c r="A138" s="80"/>
      <c r="B138" s="81"/>
      <c r="C138" s="81"/>
      <c r="D138" s="81"/>
      <c r="E138" s="81"/>
      <c r="F138" s="81"/>
      <c r="G138" s="81"/>
      <c r="H138" s="81"/>
      <c r="I138" s="81"/>
      <c r="J138" s="82"/>
      <c r="L138" s="96" t="s">
        <v>350</v>
      </c>
      <c r="M138" s="96" t="s">
        <v>351</v>
      </c>
    </row>
    <row r="139" spans="1:13" ht="14" x14ac:dyDescent="0.3">
      <c r="A139" s="80"/>
      <c r="B139" s="81"/>
      <c r="C139" s="81"/>
      <c r="D139" s="81"/>
      <c r="E139" s="81"/>
      <c r="F139" s="81"/>
      <c r="G139" s="81"/>
      <c r="H139" s="81"/>
      <c r="I139" s="81"/>
      <c r="J139" s="82"/>
      <c r="L139" s="96" t="s">
        <v>353</v>
      </c>
      <c r="M139" s="96" t="s">
        <v>354</v>
      </c>
    </row>
    <row r="140" spans="1:13" ht="14" x14ac:dyDescent="0.3">
      <c r="A140" s="80"/>
      <c r="B140" s="81"/>
      <c r="C140" s="81"/>
      <c r="D140" s="81"/>
      <c r="E140" s="81"/>
      <c r="F140" s="81"/>
      <c r="G140" s="81"/>
      <c r="H140" s="81"/>
      <c r="I140" s="81"/>
      <c r="J140" s="82"/>
      <c r="L140" s="96" t="s">
        <v>356</v>
      </c>
      <c r="M140" s="96" t="s">
        <v>333</v>
      </c>
    </row>
    <row r="141" spans="1:13" ht="4.5" customHeight="1" x14ac:dyDescent="0.3">
      <c r="A141" s="80"/>
      <c r="B141" s="81"/>
      <c r="C141" s="81"/>
      <c r="D141" s="81"/>
      <c r="E141" s="81"/>
      <c r="F141" s="81"/>
      <c r="G141" s="81"/>
      <c r="H141" s="81"/>
      <c r="I141" s="81"/>
      <c r="J141" s="82"/>
      <c r="L141" s="96" t="s">
        <v>357</v>
      </c>
      <c r="M141" s="96" t="s">
        <v>358</v>
      </c>
    </row>
    <row r="142" spans="1:13" ht="14" x14ac:dyDescent="0.3">
      <c r="A142" s="80"/>
      <c r="B142" s="81"/>
      <c r="C142" s="81"/>
      <c r="D142" s="81"/>
      <c r="E142" s="81"/>
      <c r="F142" s="81"/>
      <c r="G142" s="81"/>
      <c r="H142" s="81"/>
      <c r="I142" s="81"/>
      <c r="J142" s="82"/>
      <c r="L142" s="96" t="s">
        <v>360</v>
      </c>
      <c r="M142" s="96" t="s">
        <v>361</v>
      </c>
    </row>
    <row r="143" spans="1:13" ht="14" x14ac:dyDescent="0.3">
      <c r="A143" s="80"/>
      <c r="B143" s="81"/>
      <c r="C143" s="81"/>
      <c r="D143" s="81"/>
      <c r="E143" s="81"/>
      <c r="F143" s="81"/>
      <c r="G143" s="81"/>
      <c r="H143" s="81"/>
      <c r="I143" s="81"/>
      <c r="J143" s="82"/>
      <c r="L143" s="96" t="s">
        <v>363</v>
      </c>
      <c r="M143" s="96" t="s">
        <v>364</v>
      </c>
    </row>
    <row r="144" spans="1:13" x14ac:dyDescent="0.25">
      <c r="A144" s="80"/>
      <c r="B144" s="81"/>
      <c r="C144" s="81"/>
      <c r="D144" s="81"/>
      <c r="E144" s="81"/>
      <c r="F144" s="81"/>
      <c r="G144" s="81"/>
      <c r="H144" s="81"/>
      <c r="I144" s="81"/>
      <c r="J144" s="82"/>
    </row>
    <row r="145" spans="1:12" ht="14" x14ac:dyDescent="0.3">
      <c r="A145" s="80"/>
      <c r="B145" s="81"/>
      <c r="C145" s="81"/>
      <c r="D145" s="81"/>
      <c r="E145" s="81"/>
      <c r="F145" s="81"/>
      <c r="G145" s="81"/>
      <c r="H145" s="81"/>
      <c r="I145" s="81"/>
      <c r="J145" s="82"/>
      <c r="L145" s="95" t="s">
        <v>727</v>
      </c>
    </row>
    <row r="146" spans="1:12" ht="14.5" x14ac:dyDescent="0.35">
      <c r="A146" s="80"/>
      <c r="B146" s="81"/>
      <c r="C146" s="81"/>
      <c r="D146" s="81"/>
      <c r="E146" s="81"/>
      <c r="F146" s="81"/>
      <c r="G146" s="81"/>
      <c r="H146" s="81"/>
      <c r="I146" s="81"/>
      <c r="J146" s="82"/>
      <c r="L146" s="94" t="s">
        <v>292</v>
      </c>
    </row>
    <row r="147" spans="1:12" ht="14.5" x14ac:dyDescent="0.35">
      <c r="A147" s="80"/>
      <c r="B147" s="81"/>
      <c r="C147" s="81"/>
      <c r="D147" s="81"/>
      <c r="E147" s="81"/>
      <c r="F147" s="81"/>
      <c r="G147" s="81"/>
      <c r="H147" s="81"/>
      <c r="I147" s="81"/>
      <c r="J147" s="82"/>
      <c r="L147" s="94" t="s">
        <v>293</v>
      </c>
    </row>
    <row r="148" spans="1:12" ht="14.5" x14ac:dyDescent="0.35">
      <c r="A148" s="80"/>
      <c r="B148" s="81"/>
      <c r="C148" s="81"/>
      <c r="D148" s="81"/>
      <c r="E148" s="81"/>
      <c r="F148" s="81"/>
      <c r="G148" s="81"/>
      <c r="H148" s="81"/>
      <c r="I148" s="81"/>
      <c r="J148" s="82"/>
      <c r="L148" s="94" t="s">
        <v>294</v>
      </c>
    </row>
    <row r="149" spans="1:12" ht="14.5" x14ac:dyDescent="0.35">
      <c r="A149" s="80"/>
      <c r="B149" s="81"/>
      <c r="C149" s="81"/>
      <c r="D149" s="81"/>
      <c r="E149" s="81"/>
      <c r="F149" s="81"/>
      <c r="G149" s="81"/>
      <c r="H149" s="81"/>
      <c r="I149" s="81"/>
      <c r="J149" s="82"/>
      <c r="L149" s="94" t="s">
        <v>295</v>
      </c>
    </row>
    <row r="150" spans="1:12" ht="14.5" x14ac:dyDescent="0.35">
      <c r="A150" s="80"/>
      <c r="B150" s="81"/>
      <c r="C150" s="81"/>
      <c r="D150" s="81"/>
      <c r="E150" s="81"/>
      <c r="F150" s="81"/>
      <c r="G150" s="81"/>
      <c r="H150" s="81"/>
      <c r="I150" s="81"/>
      <c r="J150" s="82"/>
      <c r="L150" s="94" t="s">
        <v>296</v>
      </c>
    </row>
    <row r="151" spans="1:12" ht="14.5" x14ac:dyDescent="0.35">
      <c r="A151" s="80"/>
      <c r="B151" s="81"/>
      <c r="C151" s="81"/>
      <c r="D151" s="81"/>
      <c r="E151" s="81"/>
      <c r="F151" s="81"/>
      <c r="G151" s="81"/>
      <c r="H151" s="81"/>
      <c r="I151" s="81"/>
      <c r="J151" s="82"/>
      <c r="L151" s="94" t="s">
        <v>299</v>
      </c>
    </row>
    <row r="152" spans="1:12" ht="15.65" customHeight="1" x14ac:dyDescent="0.35">
      <c r="A152" s="80"/>
      <c r="B152" s="81"/>
      <c r="C152" s="81"/>
      <c r="D152" s="81"/>
      <c r="E152" s="81"/>
      <c r="F152" s="81"/>
      <c r="G152" s="81"/>
      <c r="H152" s="81"/>
      <c r="I152" s="81"/>
      <c r="J152" s="82"/>
      <c r="L152" s="94" t="s">
        <v>300</v>
      </c>
    </row>
    <row r="153" spans="1:12" ht="14.5" x14ac:dyDescent="0.35">
      <c r="A153" s="80"/>
      <c r="B153" s="81"/>
      <c r="C153" s="81"/>
      <c r="D153" s="81"/>
      <c r="E153" s="81"/>
      <c r="F153" s="81"/>
      <c r="G153" s="81"/>
      <c r="H153" s="81"/>
      <c r="I153" s="81"/>
      <c r="J153" s="82"/>
      <c r="L153" s="94" t="s">
        <v>297</v>
      </c>
    </row>
    <row r="154" spans="1:12" ht="14.5" x14ac:dyDescent="0.35">
      <c r="A154" s="80"/>
      <c r="B154" s="81"/>
      <c r="C154" s="81"/>
      <c r="D154" s="81"/>
      <c r="E154" s="81"/>
      <c r="F154" s="81"/>
      <c r="G154" s="81"/>
      <c r="H154" s="81"/>
      <c r="I154" s="81"/>
      <c r="J154" s="82"/>
      <c r="L154" s="94" t="s">
        <v>298</v>
      </c>
    </row>
    <row r="155" spans="1:12" ht="14.5" x14ac:dyDescent="0.35">
      <c r="A155" s="80"/>
      <c r="B155" s="81"/>
      <c r="C155" s="81"/>
      <c r="D155" s="81"/>
      <c r="E155" s="81"/>
      <c r="F155" s="81"/>
      <c r="G155" s="81"/>
      <c r="H155" s="81"/>
      <c r="I155" s="81"/>
      <c r="J155" s="82"/>
      <c r="L155" s="94" t="s">
        <v>301</v>
      </c>
    </row>
    <row r="156" spans="1:12" x14ac:dyDescent="0.25">
      <c r="A156" s="80"/>
      <c r="B156" s="81"/>
      <c r="C156" s="81"/>
      <c r="D156" s="81"/>
      <c r="E156" s="81"/>
      <c r="F156" s="81"/>
      <c r="G156" s="81"/>
      <c r="H156" s="81"/>
      <c r="I156" s="81"/>
      <c r="J156" s="82"/>
    </row>
    <row r="157" spans="1:12" x14ac:dyDescent="0.25">
      <c r="A157" s="80"/>
      <c r="B157" s="81"/>
      <c r="C157" s="81"/>
      <c r="D157" s="81"/>
      <c r="E157" s="81"/>
      <c r="F157" s="81"/>
      <c r="G157" s="81"/>
      <c r="H157" s="81"/>
      <c r="I157" s="81"/>
      <c r="J157" s="82"/>
    </row>
    <row r="158" spans="1:12" x14ac:dyDescent="0.25">
      <c r="A158" s="80"/>
      <c r="B158" s="81"/>
      <c r="C158" s="81"/>
      <c r="D158" s="81"/>
      <c r="E158" s="81"/>
      <c r="F158" s="81"/>
      <c r="G158" s="81"/>
      <c r="H158" s="81"/>
      <c r="I158" s="81"/>
      <c r="J158" s="82"/>
    </row>
    <row r="159" spans="1:12" x14ac:dyDescent="0.25">
      <c r="A159" s="80"/>
      <c r="B159" s="81"/>
      <c r="C159" s="81"/>
      <c r="D159" s="81"/>
      <c r="E159" s="81"/>
      <c r="F159" s="81"/>
      <c r="G159" s="81"/>
      <c r="H159" s="81"/>
      <c r="I159" s="81"/>
      <c r="J159" s="82"/>
    </row>
    <row r="160" spans="1:12" x14ac:dyDescent="0.25">
      <c r="A160" s="80"/>
      <c r="B160" s="81"/>
      <c r="C160" s="81"/>
      <c r="D160" s="81"/>
      <c r="E160" s="81"/>
      <c r="F160" s="81"/>
      <c r="G160" s="81"/>
      <c r="H160" s="81"/>
      <c r="I160" s="81"/>
      <c r="J160" s="82"/>
    </row>
    <row r="161" spans="1:10" x14ac:dyDescent="0.25">
      <c r="A161" s="80"/>
      <c r="B161" s="81"/>
      <c r="C161" s="81"/>
      <c r="D161" s="81"/>
      <c r="E161" s="81"/>
      <c r="F161" s="81"/>
      <c r="G161" s="81"/>
      <c r="H161" s="81"/>
      <c r="I161" s="81"/>
      <c r="J161" s="82"/>
    </row>
    <row r="162" spans="1:10" x14ac:dyDescent="0.25">
      <c r="A162" s="80"/>
      <c r="B162" s="81"/>
      <c r="C162" s="81"/>
      <c r="D162" s="81"/>
      <c r="E162" s="81"/>
      <c r="F162" s="81"/>
      <c r="G162" s="81"/>
      <c r="H162" s="81"/>
      <c r="I162" s="81"/>
      <c r="J162" s="82"/>
    </row>
    <row r="163" spans="1:10" x14ac:dyDescent="0.25">
      <c r="A163" s="80"/>
      <c r="B163" s="81"/>
      <c r="C163" s="81"/>
      <c r="D163" s="81"/>
      <c r="E163" s="81"/>
      <c r="F163" s="81"/>
      <c r="G163" s="81"/>
      <c r="H163" s="81"/>
      <c r="I163" s="81"/>
      <c r="J163" s="82"/>
    </row>
    <row r="164" spans="1:10" x14ac:dyDescent="0.25">
      <c r="A164" s="80"/>
      <c r="B164" s="81"/>
      <c r="C164" s="81"/>
      <c r="D164" s="81"/>
      <c r="E164" s="81"/>
      <c r="F164" s="81"/>
      <c r="G164" s="81"/>
      <c r="H164" s="81"/>
      <c r="I164" s="81"/>
      <c r="J164" s="82"/>
    </row>
    <row r="165" spans="1:10" x14ac:dyDescent="0.25">
      <c r="A165" s="80"/>
      <c r="B165" s="81"/>
      <c r="C165" s="81"/>
      <c r="D165" s="81"/>
      <c r="E165" s="81"/>
      <c r="F165" s="81"/>
      <c r="G165" s="81"/>
      <c r="H165" s="81"/>
      <c r="I165" s="81"/>
      <c r="J165" s="82"/>
    </row>
    <row r="166" spans="1:10" x14ac:dyDescent="0.25">
      <c r="A166" s="80"/>
      <c r="B166" s="81"/>
      <c r="C166" s="81"/>
      <c r="D166" s="81"/>
      <c r="E166" s="81"/>
      <c r="F166" s="81"/>
      <c r="G166" s="81"/>
      <c r="H166" s="81"/>
      <c r="I166" s="81"/>
      <c r="J166" s="82"/>
    </row>
    <row r="167" spans="1:10" x14ac:dyDescent="0.25">
      <c r="A167" s="80"/>
      <c r="B167" s="81"/>
      <c r="C167" s="81"/>
      <c r="D167" s="81"/>
      <c r="E167" s="81"/>
      <c r="F167" s="81"/>
      <c r="G167" s="81"/>
      <c r="H167" s="81"/>
      <c r="I167" s="81"/>
      <c r="J167" s="82"/>
    </row>
    <row r="168" spans="1:10" x14ac:dyDescent="0.25">
      <c r="A168" s="80"/>
      <c r="B168" s="81"/>
      <c r="C168" s="81"/>
      <c r="D168" s="81"/>
      <c r="E168" s="81"/>
      <c r="F168" s="81"/>
      <c r="G168" s="81"/>
      <c r="H168" s="81"/>
      <c r="I168" s="81"/>
      <c r="J168" s="82"/>
    </row>
    <row r="169" spans="1:10" x14ac:dyDescent="0.25">
      <c r="A169" s="80"/>
      <c r="B169" s="81"/>
      <c r="C169" s="81"/>
      <c r="D169" s="81"/>
      <c r="E169" s="81"/>
      <c r="F169" s="81"/>
      <c r="G169" s="81"/>
      <c r="H169" s="81"/>
      <c r="I169" s="81"/>
      <c r="J169" s="82"/>
    </row>
    <row r="170" spans="1:10" x14ac:dyDescent="0.25">
      <c r="A170" s="80"/>
      <c r="B170" s="81"/>
      <c r="C170" s="81"/>
      <c r="D170" s="81"/>
      <c r="E170" s="81"/>
      <c r="F170" s="81"/>
      <c r="G170" s="81"/>
      <c r="H170" s="81"/>
      <c r="I170" s="81"/>
      <c r="J170" s="82"/>
    </row>
    <row r="171" spans="1:10" x14ac:dyDescent="0.25">
      <c r="A171" s="80"/>
      <c r="B171" s="81"/>
      <c r="C171" s="81"/>
      <c r="D171" s="81"/>
      <c r="E171" s="81"/>
      <c r="F171" s="81"/>
      <c r="G171" s="81"/>
      <c r="H171" s="81"/>
      <c r="I171" s="81"/>
      <c r="J171" s="82"/>
    </row>
    <row r="172" spans="1:10" x14ac:dyDescent="0.25">
      <c r="A172" s="80"/>
      <c r="B172" s="81"/>
      <c r="C172" s="81"/>
      <c r="D172" s="81"/>
      <c r="E172" s="81"/>
      <c r="F172" s="81"/>
      <c r="G172" s="81"/>
      <c r="H172" s="81"/>
      <c r="I172" s="81"/>
      <c r="J172" s="82"/>
    </row>
    <row r="173" spans="1:10" x14ac:dyDescent="0.25">
      <c r="A173" s="80"/>
      <c r="B173" s="81"/>
      <c r="C173" s="81"/>
      <c r="D173" s="81"/>
      <c r="E173" s="81"/>
      <c r="F173" s="81"/>
      <c r="G173" s="81"/>
      <c r="H173" s="81"/>
      <c r="I173" s="81"/>
      <c r="J173" s="82"/>
    </row>
    <row r="174" spans="1:10" x14ac:dyDescent="0.25">
      <c r="A174" s="80"/>
      <c r="B174" s="81"/>
      <c r="C174" s="81"/>
      <c r="D174" s="81"/>
      <c r="E174" s="81"/>
      <c r="F174" s="81"/>
      <c r="G174" s="81"/>
      <c r="H174" s="81"/>
      <c r="I174" s="81"/>
      <c r="J174" s="82"/>
    </row>
    <row r="175" spans="1:10" x14ac:dyDescent="0.25">
      <c r="A175" s="80"/>
      <c r="B175" s="81"/>
      <c r="C175" s="81"/>
      <c r="D175" s="81"/>
      <c r="E175" s="81"/>
      <c r="F175" s="81"/>
      <c r="G175" s="81"/>
      <c r="H175" s="81"/>
      <c r="I175" s="81"/>
      <c r="J175" s="82"/>
    </row>
    <row r="176" spans="1:10" x14ac:dyDescent="0.25">
      <c r="A176" s="80"/>
      <c r="B176" s="81"/>
      <c r="C176" s="81"/>
      <c r="D176" s="81"/>
      <c r="E176" s="81"/>
      <c r="F176" s="81"/>
      <c r="G176" s="81"/>
      <c r="H176" s="81"/>
      <c r="I176" s="81"/>
      <c r="J176" s="82"/>
    </row>
    <row r="177" spans="1:10" x14ac:dyDescent="0.25">
      <c r="A177" s="80"/>
      <c r="B177" s="108" t="s">
        <v>35</v>
      </c>
      <c r="C177" s="108"/>
      <c r="D177" s="108"/>
      <c r="E177" s="81"/>
      <c r="F177" s="81"/>
      <c r="G177" s="81"/>
      <c r="H177" s="81"/>
      <c r="I177" s="81"/>
      <c r="J177" s="82"/>
    </row>
    <row r="178" spans="1:10" x14ac:dyDescent="0.25">
      <c r="A178" s="80"/>
      <c r="B178" s="81"/>
      <c r="C178" s="81"/>
      <c r="D178" s="81"/>
      <c r="E178" s="81"/>
      <c r="F178" s="81"/>
      <c r="G178" s="81"/>
      <c r="H178" s="81"/>
      <c r="I178" s="81"/>
      <c r="J178" s="82"/>
    </row>
    <row r="179" spans="1:10" x14ac:dyDescent="0.25">
      <c r="A179" s="80"/>
      <c r="B179" s="99"/>
      <c r="C179" s="100"/>
      <c r="D179" s="100"/>
      <c r="E179" s="100"/>
      <c r="F179" s="100"/>
      <c r="G179" s="100"/>
      <c r="H179" s="100"/>
      <c r="I179" s="101"/>
      <c r="J179" s="82"/>
    </row>
    <row r="180" spans="1:10" x14ac:dyDescent="0.25">
      <c r="A180" s="80"/>
      <c r="B180" s="102"/>
      <c r="C180" s="103"/>
      <c r="D180" s="103"/>
      <c r="E180" s="103"/>
      <c r="F180" s="103"/>
      <c r="G180" s="103"/>
      <c r="H180" s="103"/>
      <c r="I180" s="104"/>
      <c r="J180" s="82"/>
    </row>
    <row r="181" spans="1:10" x14ac:dyDescent="0.25">
      <c r="A181" s="80"/>
      <c r="B181" s="105"/>
      <c r="C181" s="106"/>
      <c r="D181" s="106"/>
      <c r="E181" s="106"/>
      <c r="F181" s="106"/>
      <c r="G181" s="106"/>
      <c r="H181" s="106"/>
      <c r="I181" s="107"/>
      <c r="J181" s="82"/>
    </row>
    <row r="182" spans="1:10" x14ac:dyDescent="0.25">
      <c r="A182" s="80"/>
      <c r="B182" s="81"/>
      <c r="C182" s="81"/>
      <c r="D182" s="81"/>
      <c r="E182" s="81"/>
      <c r="F182" s="81"/>
      <c r="G182" s="81"/>
      <c r="H182" s="81"/>
      <c r="I182" s="81"/>
      <c r="J182" s="82"/>
    </row>
    <row r="183" spans="1:10" ht="14" thickBot="1" x14ac:dyDescent="0.3">
      <c r="A183" s="83"/>
      <c r="B183" s="84"/>
      <c r="C183" s="85"/>
      <c r="D183" s="85"/>
      <c r="E183" s="85"/>
      <c r="F183" s="85"/>
      <c r="G183" s="85"/>
      <c r="H183" s="85"/>
      <c r="I183" s="85"/>
      <c r="J183" s="86"/>
    </row>
  </sheetData>
  <mergeCells count="25">
    <mergeCell ref="P49:U49"/>
    <mergeCell ref="P40:U40"/>
    <mergeCell ref="P41:U41"/>
    <mergeCell ref="P45:U45"/>
    <mergeCell ref="P37:U37"/>
    <mergeCell ref="P38:U38"/>
    <mergeCell ref="P39:U39"/>
    <mergeCell ref="P34:U34"/>
    <mergeCell ref="P35:U35"/>
    <mergeCell ref="P36:U36"/>
    <mergeCell ref="C3:D3"/>
    <mergeCell ref="C4:D4"/>
    <mergeCell ref="A1:C1"/>
    <mergeCell ref="B179:I181"/>
    <mergeCell ref="B177:D177"/>
    <mergeCell ref="B64:D64"/>
    <mergeCell ref="F64:H64"/>
    <mergeCell ref="G67:I67"/>
    <mergeCell ref="B93:E93"/>
    <mergeCell ref="B94:E94"/>
    <mergeCell ref="G5:I5"/>
    <mergeCell ref="B89:I89"/>
    <mergeCell ref="B90:E90"/>
    <mergeCell ref="B88:H88"/>
    <mergeCell ref="B91:I92"/>
  </mergeCells>
  <dataValidations count="1">
    <dataValidation type="list" allowBlank="1" showInputMessage="1" showErrorMessage="1" sqref="G67:I67" xr:uid="{DF39DD77-3594-42F0-A765-E6EABDBF8C05}">
      <formula1>IF($F$64="PERSONA FISICA",$L$68:$L$80,$M$68:$M$75)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TextBox2">
          <controlPr defaultSize="0" autoLine="0" r:id="rId5">
            <anchor moveWithCells="1">
              <from>
                <xdr:col>3</xdr:col>
                <xdr:colOff>0</xdr:colOff>
                <xdr:row>93</xdr:row>
                <xdr:rowOff>57150</xdr:rowOff>
              </from>
              <to>
                <xdr:col>4</xdr:col>
                <xdr:colOff>584200</xdr:colOff>
                <xdr:row>93</xdr:row>
                <xdr:rowOff>260350</xdr:rowOff>
              </to>
            </anchor>
          </controlPr>
        </control>
      </mc:Choice>
      <mc:Fallback>
        <control shapeId="1036" r:id="rId4" name="TextBox2"/>
      </mc:Fallback>
    </mc:AlternateContent>
    <mc:AlternateContent xmlns:mc="http://schemas.openxmlformats.org/markup-compatibility/2006">
      <mc:Choice Requires="x14">
        <control shapeId="1034" r:id="rId6" name="TextBox1">
          <controlPr defaultSize="0" autoLine="0" r:id="rId7">
            <anchor moveWithCells="1">
              <from>
                <xdr:col>3</xdr:col>
                <xdr:colOff>0</xdr:colOff>
                <xdr:row>92</xdr:row>
                <xdr:rowOff>69850</xdr:rowOff>
              </from>
              <to>
                <xdr:col>6</xdr:col>
                <xdr:colOff>19050</xdr:colOff>
                <xdr:row>93</xdr:row>
                <xdr:rowOff>19050</xdr:rowOff>
              </to>
            </anchor>
          </controlPr>
        </control>
      </mc:Choice>
      <mc:Fallback>
        <control shapeId="1034" r:id="rId6" name="TextBox1"/>
      </mc:Fallback>
    </mc:AlternateContent>
    <mc:AlternateContent xmlns:mc="http://schemas.openxmlformats.org/markup-compatibility/2006">
      <mc:Choice Requires="x14">
        <control shapeId="1025" r:id="rId8" name="Check Box 1">
          <controlPr defaultSize="0" autoFill="0" autoLine="0" autoPict="0">
            <anchor moveWithCells="1">
              <from>
                <xdr:col>2</xdr:col>
                <xdr:colOff>165100</xdr:colOff>
                <xdr:row>1</xdr:row>
                <xdr:rowOff>152400</xdr:rowOff>
              </from>
              <to>
                <xdr:col>3</xdr:col>
                <xdr:colOff>450850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Check Box 2">
          <controlPr defaultSize="0" autoFill="0" autoLine="0" autoPict="0">
            <anchor moveWithCells="1">
              <from>
                <xdr:col>2</xdr:col>
                <xdr:colOff>165100</xdr:colOff>
                <xdr:row>2</xdr:row>
                <xdr:rowOff>222250</xdr:rowOff>
              </from>
              <to>
                <xdr:col>3</xdr:col>
                <xdr:colOff>450850</xdr:colOff>
                <xdr:row>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0" name="Drop Down 4">
          <controlPr defaultSize="0" autoLine="0" autoPict="0">
            <anchor moveWithCells="1">
              <from>
                <xdr:col>7</xdr:col>
                <xdr:colOff>495300</xdr:colOff>
                <xdr:row>87</xdr:row>
                <xdr:rowOff>57150</xdr:rowOff>
              </from>
              <to>
                <xdr:col>8</xdr:col>
                <xdr:colOff>393700</xdr:colOff>
                <xdr:row>87</xdr:row>
                <xdr:rowOff>241300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Drop Down 5">
          <controlPr defaultSize="0" autoLine="0" autoPict="0">
            <anchor moveWithCells="1">
              <from>
                <xdr:col>9</xdr:col>
                <xdr:colOff>19050</xdr:colOff>
                <xdr:row>88</xdr:row>
                <xdr:rowOff>12700</xdr:rowOff>
              </from>
              <to>
                <xdr:col>9</xdr:col>
                <xdr:colOff>666750</xdr:colOff>
                <xdr:row>88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Drop Down 7">
          <controlPr defaultSize="0" autoLine="0" autoPict="0">
            <anchor moveWithCells="1">
              <from>
                <xdr:col>9</xdr:col>
                <xdr:colOff>19050</xdr:colOff>
                <xdr:row>90</xdr:row>
                <xdr:rowOff>133350</xdr:rowOff>
              </from>
              <to>
                <xdr:col>9</xdr:col>
                <xdr:colOff>698500</xdr:colOff>
                <xdr:row>91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3" name="Check Box 13">
          <controlPr defaultSize="0" autoFill="0" autoLine="0" autoPict="0">
            <anchor moveWithCells="1">
              <from>
                <xdr:col>5</xdr:col>
                <xdr:colOff>895350</xdr:colOff>
                <xdr:row>67</xdr:row>
                <xdr:rowOff>184150</xdr:rowOff>
              </from>
              <to>
                <xdr:col>7</xdr:col>
                <xdr:colOff>590550</xdr:colOff>
                <xdr:row>70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4" name="Drop Down 21">
          <controlPr defaultSize="0" autoLine="0" autoPict="0">
            <anchor moveWithCells="1">
              <from>
                <xdr:col>6</xdr:col>
                <xdr:colOff>31750</xdr:colOff>
                <xdr:row>71</xdr:row>
                <xdr:rowOff>76200</xdr:rowOff>
              </from>
              <to>
                <xdr:col>8</xdr:col>
                <xdr:colOff>1327150</xdr:colOff>
                <xdr:row>72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5" name="Drop Down 22">
          <controlPr defaultSize="0" autoLine="0" autoPict="0">
            <anchor moveWithCells="1">
              <from>
                <xdr:col>1</xdr:col>
                <xdr:colOff>12700</xdr:colOff>
                <xdr:row>43</xdr:row>
                <xdr:rowOff>146050</xdr:rowOff>
              </from>
              <to>
                <xdr:col>4</xdr:col>
                <xdr:colOff>184150</xdr:colOff>
                <xdr:row>45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6" name="Option Button 24">
          <controlPr defaultSize="0" autoFill="0" autoLine="0" autoPict="0">
            <anchor moveWithCells="1">
              <from>
                <xdr:col>5</xdr:col>
                <xdr:colOff>577850</xdr:colOff>
                <xdr:row>43</xdr:row>
                <xdr:rowOff>69850</xdr:rowOff>
              </from>
              <to>
                <xdr:col>6</xdr:col>
                <xdr:colOff>698500</xdr:colOff>
                <xdr:row>46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7" name="Option Button 25">
          <controlPr defaultSize="0" autoFill="0" autoLine="0" autoPict="0">
            <anchor moveWithCells="1">
              <from>
                <xdr:col>6</xdr:col>
                <xdr:colOff>361950</xdr:colOff>
                <xdr:row>43</xdr:row>
                <xdr:rowOff>76200</xdr:rowOff>
              </from>
              <to>
                <xdr:col>7</xdr:col>
                <xdr:colOff>469900</xdr:colOff>
                <xdr:row>46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8" name="Drop Down 27">
          <controlPr defaultSize="0" autoLine="0" autoPict="0">
            <anchor moveWithCells="1">
              <from>
                <xdr:col>1</xdr:col>
                <xdr:colOff>31750</xdr:colOff>
                <xdr:row>20</xdr:row>
                <xdr:rowOff>31750</xdr:rowOff>
              </from>
              <to>
                <xdr:col>4</xdr:col>
                <xdr:colOff>679450</xdr:colOff>
                <xdr:row>21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9" name="Drop Down 28">
          <controlPr defaultSize="0" autoLine="0" autoPict="0">
            <anchor moveWithCells="1">
              <from>
                <xdr:col>5</xdr:col>
                <xdr:colOff>171450</xdr:colOff>
                <xdr:row>20</xdr:row>
                <xdr:rowOff>12700</xdr:rowOff>
              </from>
              <to>
                <xdr:col>8</xdr:col>
                <xdr:colOff>685800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20" name="Drop Down 6">
          <controlPr defaultSize="0" autoLine="0" autoPict="0">
            <anchor moveWithCells="1">
              <from>
                <xdr:col>4</xdr:col>
                <xdr:colOff>533400</xdr:colOff>
                <xdr:row>89</xdr:row>
                <xdr:rowOff>19050</xdr:rowOff>
              </from>
              <to>
                <xdr:col>9</xdr:col>
                <xdr:colOff>755650</xdr:colOff>
                <xdr:row>89</xdr:row>
                <xdr:rowOff>228600</xdr:rowOff>
              </to>
            </anchor>
          </controlPr>
        </control>
      </mc:Choice>
    </mc:AlternateContent>
  </controls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25CF4-1721-461B-ADEA-10B4837BA9B6}">
  <sheetPr codeName="Hoja6"/>
  <dimension ref="A1"/>
  <sheetViews>
    <sheetView workbookViewId="0">
      <selection activeCell="B3" sqref="B3"/>
    </sheetView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8930E-E213-498E-878C-F6AA33D1142A}">
  <sheetPr codeName="Hoja1"/>
  <dimension ref="A1:M116"/>
  <sheetViews>
    <sheetView zoomScale="115" zoomScaleNormal="115" workbookViewId="0">
      <selection activeCell="K66" sqref="K66"/>
    </sheetView>
  </sheetViews>
  <sheetFormatPr baseColWidth="10" defaultColWidth="10.81640625" defaultRowHeight="13.5" x14ac:dyDescent="0.25"/>
  <cols>
    <col min="1" max="1" width="4" style="1" customWidth="1"/>
    <col min="2" max="2" width="12.26953125" style="1" customWidth="1"/>
    <col min="3" max="4" width="8.453125" style="1" customWidth="1"/>
    <col min="5" max="5" width="10.81640625" style="1"/>
    <col min="6" max="6" width="13.26953125" style="1" bestFit="1" customWidth="1"/>
    <col min="7" max="8" width="10.81640625" style="1"/>
    <col min="9" max="9" width="21.54296875" style="1" customWidth="1"/>
    <col min="10" max="10" width="14.54296875" style="1" customWidth="1"/>
    <col min="11" max="11" width="10.81640625" style="1"/>
    <col min="12" max="12" width="83.1796875" style="1" bestFit="1" customWidth="1"/>
    <col min="13" max="13" width="67.26953125" style="1" bestFit="1" customWidth="1"/>
    <col min="14" max="16384" width="10.81640625" style="1"/>
  </cols>
  <sheetData>
    <row r="1" spans="1:11" ht="24" customHeight="1" x14ac:dyDescent="0.25">
      <c r="A1" s="127" t="s">
        <v>0</v>
      </c>
      <c r="B1" s="127"/>
      <c r="C1" s="127"/>
    </row>
    <row r="3" spans="1:11" ht="20.5" customHeight="1" x14ac:dyDescent="0.25">
      <c r="B3" s="2" t="s">
        <v>1</v>
      </c>
      <c r="C3" s="99"/>
      <c r="D3" s="101"/>
    </row>
    <row r="4" spans="1:11" ht="20.5" customHeight="1" x14ac:dyDescent="0.25">
      <c r="C4" s="105"/>
      <c r="D4" s="107"/>
    </row>
    <row r="5" spans="1:11" x14ac:dyDescent="0.25">
      <c r="G5" s="128" t="s">
        <v>2</v>
      </c>
      <c r="H5" s="128"/>
      <c r="I5" s="128"/>
    </row>
    <row r="8" spans="1:11" ht="3" customHeight="1" x14ac:dyDescent="0.25"/>
    <row r="9" spans="1:11" ht="14.5" x14ac:dyDescent="0.35">
      <c r="K9" s="7"/>
    </row>
    <row r="10" spans="1:11" ht="3" customHeight="1" x14ac:dyDescent="0.25"/>
    <row r="58" spans="2:12" x14ac:dyDescent="0.25">
      <c r="L58" s="2"/>
    </row>
    <row r="60" spans="2:12" ht="32.15" customHeight="1" x14ac:dyDescent="0.25"/>
    <row r="63" spans="2:12" x14ac:dyDescent="0.25">
      <c r="B63" s="3"/>
      <c r="F63" s="3"/>
    </row>
    <row r="64" spans="2:12" ht="4.5" customHeight="1" x14ac:dyDescent="0.25"/>
    <row r="65" spans="2:13" ht="17.149999999999999" customHeight="1" x14ac:dyDescent="0.25">
      <c r="B65" s="129"/>
      <c r="C65" s="129"/>
      <c r="D65" s="129"/>
      <c r="F65" s="129"/>
      <c r="G65" s="129"/>
      <c r="H65" s="129"/>
      <c r="K65" s="62" t="s">
        <v>703</v>
      </c>
      <c r="L65" s="64"/>
    </row>
    <row r="66" spans="2:13" ht="14" x14ac:dyDescent="0.3">
      <c r="J66" s="6"/>
      <c r="K66" s="62" t="s">
        <v>701</v>
      </c>
      <c r="L66" s="64"/>
    </row>
    <row r="67" spans="2:13" x14ac:dyDescent="0.25">
      <c r="B67" s="130" t="s">
        <v>36</v>
      </c>
      <c r="C67" s="130"/>
      <c r="D67" s="130"/>
      <c r="G67" s="14" t="s">
        <v>37</v>
      </c>
      <c r="H67" s="126"/>
      <c r="I67" s="126"/>
      <c r="K67" s="65"/>
      <c r="L67" s="62"/>
    </row>
    <row r="68" spans="2:13" ht="18" customHeight="1" x14ac:dyDescent="0.35">
      <c r="B68" s="130" t="s">
        <v>38</v>
      </c>
      <c r="C68" s="130"/>
      <c r="D68" s="130"/>
      <c r="E68" s="130"/>
      <c r="F68" s="130"/>
      <c r="G68" s="130"/>
      <c r="H68" s="130"/>
      <c r="I68" s="15"/>
      <c r="K68" s="16" t="s">
        <v>39</v>
      </c>
      <c r="L68" s="17" t="s">
        <v>40</v>
      </c>
      <c r="M68" s="7"/>
    </row>
    <row r="69" spans="2:13" ht="14.5" x14ac:dyDescent="0.35">
      <c r="J69" s="6"/>
      <c r="K69" s="16" t="s">
        <v>41</v>
      </c>
      <c r="L69" s="17" t="s">
        <v>42</v>
      </c>
      <c r="M69" s="7"/>
    </row>
    <row r="70" spans="2:13" ht="14.5" x14ac:dyDescent="0.35">
      <c r="L70" s="17" t="s">
        <v>43</v>
      </c>
      <c r="M70" s="7"/>
    </row>
    <row r="71" spans="2:13" ht="14.5" x14ac:dyDescent="0.35">
      <c r="L71" s="17" t="s">
        <v>44</v>
      </c>
      <c r="M71" s="7"/>
    </row>
    <row r="72" spans="2:13" ht="14.5" x14ac:dyDescent="0.35">
      <c r="L72" s="17" t="s">
        <v>45</v>
      </c>
      <c r="M72" s="7"/>
    </row>
    <row r="73" spans="2:13" ht="14.5" x14ac:dyDescent="0.35">
      <c r="L73" s="17" t="s">
        <v>46</v>
      </c>
      <c r="M73" s="7"/>
    </row>
    <row r="74" spans="2:13" ht="14.5" x14ac:dyDescent="0.35">
      <c r="L74" s="17" t="s">
        <v>47</v>
      </c>
      <c r="M74" s="7"/>
    </row>
    <row r="75" spans="2:13" ht="14.5" x14ac:dyDescent="0.35">
      <c r="L75" s="17" t="s">
        <v>48</v>
      </c>
      <c r="M75" s="7"/>
    </row>
    <row r="76" spans="2:13" ht="14.5" x14ac:dyDescent="0.35">
      <c r="K76" s="1" t="s">
        <v>702</v>
      </c>
      <c r="L76" s="17" t="s">
        <v>49</v>
      </c>
      <c r="M76" s="7"/>
    </row>
    <row r="77" spans="2:13" ht="14.5" x14ac:dyDescent="0.35">
      <c r="L77" s="17" t="s">
        <v>50</v>
      </c>
      <c r="M77" s="7"/>
    </row>
    <row r="78" spans="2:13" ht="14.5" x14ac:dyDescent="0.35">
      <c r="L78" s="17" t="s">
        <v>51</v>
      </c>
      <c r="M78" s="7"/>
    </row>
    <row r="79" spans="2:13" ht="14.5" x14ac:dyDescent="0.35">
      <c r="L79" s="7"/>
      <c r="M79" s="7"/>
    </row>
    <row r="80" spans="2:13" ht="14.5" x14ac:dyDescent="0.35">
      <c r="M80" s="7"/>
    </row>
    <row r="81" spans="12:13" ht="14.5" x14ac:dyDescent="0.35">
      <c r="M81" s="7"/>
    </row>
    <row r="82" spans="12:13" ht="14.5" x14ac:dyDescent="0.35">
      <c r="M82" s="7"/>
    </row>
    <row r="83" spans="12:13" ht="14.5" x14ac:dyDescent="0.35">
      <c r="M83" s="7"/>
    </row>
    <row r="84" spans="12:13" ht="14.5" x14ac:dyDescent="0.35">
      <c r="M84" s="7"/>
    </row>
    <row r="85" spans="12:13" ht="14.5" x14ac:dyDescent="0.35">
      <c r="M85" s="7"/>
    </row>
    <row r="86" spans="12:13" ht="14.5" x14ac:dyDescent="0.35">
      <c r="M86" s="7"/>
    </row>
    <row r="87" spans="12:13" ht="14.5" x14ac:dyDescent="0.35">
      <c r="M87" s="7"/>
    </row>
    <row r="88" spans="12:13" ht="14.5" x14ac:dyDescent="0.35">
      <c r="M88" s="7"/>
    </row>
    <row r="89" spans="12:13" ht="14.5" x14ac:dyDescent="0.35">
      <c r="M89" s="7"/>
    </row>
    <row r="90" spans="12:13" ht="14.5" x14ac:dyDescent="0.35">
      <c r="L90" s="7"/>
      <c r="M90" s="7"/>
    </row>
    <row r="91" spans="12:13" ht="14.5" x14ac:dyDescent="0.35">
      <c r="L91" s="7"/>
      <c r="M91" s="7"/>
    </row>
    <row r="92" spans="12:13" ht="14.5" x14ac:dyDescent="0.35">
      <c r="L92" s="7"/>
      <c r="M92" s="7"/>
    </row>
    <row r="93" spans="12:13" ht="14.5" x14ac:dyDescent="0.35">
      <c r="M93" s="7"/>
    </row>
    <row r="94" spans="12:13" ht="14.5" x14ac:dyDescent="0.35">
      <c r="M94" s="7"/>
    </row>
    <row r="95" spans="12:13" ht="14.5" x14ac:dyDescent="0.35">
      <c r="L95" s="7"/>
      <c r="M95" s="7"/>
    </row>
    <row r="96" spans="12:13" ht="14.5" x14ac:dyDescent="0.35">
      <c r="L96" s="7"/>
      <c r="M96" s="7"/>
    </row>
    <row r="101" spans="2:2" ht="4" customHeight="1" x14ac:dyDescent="0.25"/>
    <row r="110" spans="2:2" ht="20.149999999999999" customHeight="1" x14ac:dyDescent="0.25"/>
    <row r="112" spans="2:2" x14ac:dyDescent="0.25">
      <c r="B112" s="4" t="s">
        <v>35</v>
      </c>
    </row>
    <row r="113" spans="2:9" ht="4.5" customHeight="1" x14ac:dyDescent="0.25"/>
    <row r="114" spans="2:9" x14ac:dyDescent="0.25">
      <c r="B114" s="99"/>
      <c r="C114" s="100"/>
      <c r="D114" s="100"/>
      <c r="E114" s="100"/>
      <c r="F114" s="100"/>
      <c r="G114" s="100"/>
      <c r="H114" s="100"/>
      <c r="I114" s="101"/>
    </row>
    <row r="115" spans="2:9" x14ac:dyDescent="0.25">
      <c r="B115" s="102"/>
      <c r="C115" s="126"/>
      <c r="D115" s="126"/>
      <c r="E115" s="126"/>
      <c r="F115" s="126"/>
      <c r="G115" s="126"/>
      <c r="H115" s="126"/>
      <c r="I115" s="104"/>
    </row>
    <row r="116" spans="2:9" x14ac:dyDescent="0.25">
      <c r="B116" s="105"/>
      <c r="C116" s="106"/>
      <c r="D116" s="106"/>
      <c r="E116" s="106"/>
      <c r="F116" s="106"/>
      <c r="G116" s="106"/>
      <c r="H116" s="106"/>
      <c r="I116" s="107"/>
    </row>
  </sheetData>
  <mergeCells count="10">
    <mergeCell ref="B114:I116"/>
    <mergeCell ref="A1:C1"/>
    <mergeCell ref="C3:D3"/>
    <mergeCell ref="C4:D4"/>
    <mergeCell ref="G5:I5"/>
    <mergeCell ref="B65:D65"/>
    <mergeCell ref="F65:H65"/>
    <mergeCell ref="H67:I67"/>
    <mergeCell ref="B68:H68"/>
    <mergeCell ref="B67:D6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</xdr:col>
                    <xdr:colOff>165100</xdr:colOff>
                    <xdr:row>1</xdr:row>
                    <xdr:rowOff>152400</xdr:rowOff>
                  </from>
                  <to>
                    <xdr:col>3</xdr:col>
                    <xdr:colOff>450850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</xdr:col>
                    <xdr:colOff>165100</xdr:colOff>
                    <xdr:row>2</xdr:row>
                    <xdr:rowOff>222250</xdr:rowOff>
                  </from>
                  <to>
                    <xdr:col>3</xdr:col>
                    <xdr:colOff>450850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4</xdr:col>
                    <xdr:colOff>88900</xdr:colOff>
                    <xdr:row>66</xdr:row>
                    <xdr:rowOff>6350</xdr:rowOff>
                  </from>
                  <to>
                    <xdr:col>4</xdr:col>
                    <xdr:colOff>323850</xdr:colOff>
                    <xdr:row>67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4</xdr:col>
                    <xdr:colOff>469900</xdr:colOff>
                    <xdr:row>65</xdr:row>
                    <xdr:rowOff>165100</xdr:rowOff>
                  </from>
                  <to>
                    <xdr:col>5</xdr:col>
                    <xdr:colOff>6350</xdr:colOff>
                    <xdr:row>67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List Box 10">
              <controlPr defaultSize="0" autoLine="0" autoPict="0">
                <anchor moveWithCells="1">
                  <from>
                    <xdr:col>7</xdr:col>
                    <xdr:colOff>298450</xdr:colOff>
                    <xdr:row>67</xdr:row>
                    <xdr:rowOff>127000</xdr:rowOff>
                  </from>
                  <to>
                    <xdr:col>8</xdr:col>
                    <xdr:colOff>317500</xdr:colOff>
                    <xdr:row>69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Drop Down 11">
              <controlPr defaultSize="0" autoLine="0" autoPict="0">
                <anchor moveWithCells="1">
                  <from>
                    <xdr:col>7</xdr:col>
                    <xdr:colOff>19050</xdr:colOff>
                    <xdr:row>66</xdr:row>
                    <xdr:rowOff>12700</xdr:rowOff>
                  </from>
                  <to>
                    <xdr:col>9</xdr:col>
                    <xdr:colOff>12700</xdr:colOff>
                    <xdr:row>67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A9E1A-BFF2-41BF-9516-DF9C8B8AB28D}">
  <sheetPr codeName="Hoja3"/>
  <dimension ref="A1:E92"/>
  <sheetViews>
    <sheetView workbookViewId="0">
      <selection activeCell="G77" sqref="G77"/>
    </sheetView>
  </sheetViews>
  <sheetFormatPr baseColWidth="10" defaultColWidth="10.81640625" defaultRowHeight="14.5" x14ac:dyDescent="0.35"/>
  <cols>
    <col min="1" max="1" width="4.453125" style="7" customWidth="1"/>
    <col min="2" max="16384" width="10.81640625" style="7"/>
  </cols>
  <sheetData>
    <row r="1" spans="1:5" ht="25.5" customHeight="1" x14ac:dyDescent="0.35">
      <c r="A1" s="131" t="s">
        <v>52</v>
      </c>
      <c r="B1" s="131"/>
      <c r="C1" s="131"/>
      <c r="D1" s="131"/>
      <c r="E1" s="131"/>
    </row>
    <row r="14" spans="1:5" ht="16" customHeight="1" x14ac:dyDescent="0.35">
      <c r="A14" s="9" t="s">
        <v>53</v>
      </c>
    </row>
    <row r="15" spans="1:5" x14ac:dyDescent="0.35">
      <c r="B15" s="10" t="s">
        <v>54</v>
      </c>
    </row>
    <row r="16" spans="1:5" x14ac:dyDescent="0.35">
      <c r="B16" s="7" t="s">
        <v>55</v>
      </c>
    </row>
    <row r="17" spans="2:5" x14ac:dyDescent="0.35">
      <c r="B17" s="13" t="s">
        <v>729</v>
      </c>
    </row>
    <row r="18" spans="2:5" x14ac:dyDescent="0.35">
      <c r="B18" s="137" t="s">
        <v>56</v>
      </c>
    </row>
    <row r="19" spans="2:5" x14ac:dyDescent="0.35">
      <c r="B19" s="137" t="s">
        <v>57</v>
      </c>
    </row>
    <row r="20" spans="2:5" x14ac:dyDescent="0.35">
      <c r="B20" s="7" t="s">
        <v>58</v>
      </c>
    </row>
    <row r="22" spans="2:5" x14ac:dyDescent="0.35">
      <c r="B22" s="10" t="s">
        <v>59</v>
      </c>
    </row>
    <row r="23" spans="2:5" x14ac:dyDescent="0.35">
      <c r="B23" s="137" t="s">
        <v>60</v>
      </c>
    </row>
    <row r="24" spans="2:5" x14ac:dyDescent="0.35">
      <c r="B24" s="137" t="s">
        <v>61</v>
      </c>
    </row>
    <row r="25" spans="2:5" x14ac:dyDescent="0.35">
      <c r="B25" s="137" t="s">
        <v>62</v>
      </c>
    </row>
    <row r="26" spans="2:5" x14ac:dyDescent="0.35">
      <c r="B26" s="137" t="s">
        <v>63</v>
      </c>
    </row>
    <row r="28" spans="2:5" x14ac:dyDescent="0.35">
      <c r="B28" s="10" t="s">
        <v>64</v>
      </c>
    </row>
    <row r="29" spans="2:5" x14ac:dyDescent="0.35">
      <c r="B29" s="11" t="s">
        <v>65</v>
      </c>
    </row>
    <row r="30" spans="2:5" x14ac:dyDescent="0.35">
      <c r="C30" s="11" t="s">
        <v>66</v>
      </c>
    </row>
    <row r="31" spans="2:5" x14ac:dyDescent="0.35">
      <c r="C31" s="137" t="s">
        <v>67</v>
      </c>
      <c r="D31" s="13"/>
      <c r="E31" s="13"/>
    </row>
    <row r="32" spans="2:5" x14ac:dyDescent="0.35">
      <c r="C32" s="11" t="s">
        <v>68</v>
      </c>
    </row>
    <row r="33" spans="1:3" x14ac:dyDescent="0.35">
      <c r="C33" s="7" t="s">
        <v>69</v>
      </c>
    </row>
    <row r="34" spans="1:3" x14ac:dyDescent="0.35">
      <c r="C34" s="7" t="s">
        <v>70</v>
      </c>
    </row>
    <row r="36" spans="1:3" x14ac:dyDescent="0.35">
      <c r="B36" s="11" t="s">
        <v>71</v>
      </c>
    </row>
    <row r="37" spans="1:3" x14ac:dyDescent="0.35">
      <c r="C37" s="7" t="s">
        <v>72</v>
      </c>
    </row>
    <row r="38" spans="1:3" x14ac:dyDescent="0.35">
      <c r="C38" s="7" t="s">
        <v>73</v>
      </c>
    </row>
    <row r="39" spans="1:3" x14ac:dyDescent="0.35">
      <c r="C39" s="137" t="s">
        <v>74</v>
      </c>
    </row>
    <row r="42" spans="1:3" x14ac:dyDescent="0.35">
      <c r="A42" s="9" t="s">
        <v>75</v>
      </c>
    </row>
    <row r="43" spans="1:3" x14ac:dyDescent="0.35">
      <c r="B43" s="7" t="s">
        <v>76</v>
      </c>
    </row>
    <row r="44" spans="1:3" x14ac:dyDescent="0.35">
      <c r="B44" s="7" t="s">
        <v>77</v>
      </c>
    </row>
    <row r="45" spans="1:3" x14ac:dyDescent="0.35">
      <c r="B45" s="7" t="s">
        <v>78</v>
      </c>
    </row>
    <row r="46" spans="1:3" x14ac:dyDescent="0.35">
      <c r="B46" s="7" t="s">
        <v>79</v>
      </c>
    </row>
    <row r="47" spans="1:3" x14ac:dyDescent="0.35">
      <c r="B47" s="7" t="s">
        <v>80</v>
      </c>
    </row>
    <row r="48" spans="1:3" x14ac:dyDescent="0.35">
      <c r="B48" s="7" t="s">
        <v>81</v>
      </c>
    </row>
    <row r="49" spans="1:2" x14ac:dyDescent="0.35">
      <c r="B49" s="7" t="s">
        <v>82</v>
      </c>
    </row>
    <row r="50" spans="1:2" x14ac:dyDescent="0.35">
      <c r="B50" s="7" t="s">
        <v>83</v>
      </c>
    </row>
    <row r="51" spans="1:2" x14ac:dyDescent="0.35">
      <c r="B51" s="7" t="s">
        <v>84</v>
      </c>
    </row>
    <row r="52" spans="1:2" x14ac:dyDescent="0.35">
      <c r="B52" s="7" t="s">
        <v>85</v>
      </c>
    </row>
    <row r="53" spans="1:2" x14ac:dyDescent="0.35">
      <c r="B53" s="7" t="s">
        <v>86</v>
      </c>
    </row>
    <row r="54" spans="1:2" x14ac:dyDescent="0.35">
      <c r="B54" s="7" t="s">
        <v>87</v>
      </c>
    </row>
    <row r="55" spans="1:2" x14ac:dyDescent="0.35">
      <c r="B55" s="7" t="s">
        <v>88</v>
      </c>
    </row>
    <row r="57" spans="1:2" x14ac:dyDescent="0.35">
      <c r="A57" s="9" t="s">
        <v>89</v>
      </c>
    </row>
    <row r="58" spans="1:2" x14ac:dyDescent="0.35">
      <c r="B58" s="138" t="s">
        <v>90</v>
      </c>
    </row>
    <row r="59" spans="1:2" x14ac:dyDescent="0.35">
      <c r="B59" s="138" t="s">
        <v>76</v>
      </c>
    </row>
    <row r="60" spans="1:2" x14ac:dyDescent="0.35">
      <c r="B60" s="138" t="s">
        <v>91</v>
      </c>
    </row>
    <row r="62" spans="1:2" x14ac:dyDescent="0.35">
      <c r="B62" s="12" t="s">
        <v>92</v>
      </c>
    </row>
    <row r="63" spans="1:2" x14ac:dyDescent="0.35">
      <c r="B63" s="7" t="s">
        <v>93</v>
      </c>
    </row>
    <row r="64" spans="1:2" x14ac:dyDescent="0.35">
      <c r="B64" s="7" t="s">
        <v>94</v>
      </c>
    </row>
    <row r="66" spans="2:3" x14ac:dyDescent="0.35">
      <c r="B66" s="12" t="s">
        <v>95</v>
      </c>
    </row>
    <row r="67" spans="2:3" x14ac:dyDescent="0.35">
      <c r="B67" s="139" t="s">
        <v>96</v>
      </c>
      <c r="C67" s="137"/>
    </row>
    <row r="68" spans="2:3" x14ac:dyDescent="0.35">
      <c r="B68" s="137"/>
      <c r="C68" s="137" t="s">
        <v>97</v>
      </c>
    </row>
    <row r="69" spans="2:3" x14ac:dyDescent="0.35">
      <c r="B69" s="11" t="s">
        <v>98</v>
      </c>
    </row>
    <row r="70" spans="2:3" x14ac:dyDescent="0.35">
      <c r="C70" s="7" t="s">
        <v>77</v>
      </c>
    </row>
    <row r="71" spans="2:3" x14ac:dyDescent="0.35">
      <c r="C71" s="7" t="s">
        <v>99</v>
      </c>
    </row>
    <row r="72" spans="2:3" x14ac:dyDescent="0.35">
      <c r="C72" s="7" t="s">
        <v>100</v>
      </c>
    </row>
    <row r="73" spans="2:3" x14ac:dyDescent="0.35">
      <c r="C73" s="7" t="s">
        <v>101</v>
      </c>
    </row>
    <row r="74" spans="2:3" x14ac:dyDescent="0.35">
      <c r="C74" s="7" t="s">
        <v>102</v>
      </c>
    </row>
    <row r="76" spans="2:3" x14ac:dyDescent="0.35">
      <c r="B76" s="12" t="s">
        <v>103</v>
      </c>
    </row>
    <row r="77" spans="2:3" x14ac:dyDescent="0.35">
      <c r="B77" s="7" t="s">
        <v>104</v>
      </c>
    </row>
    <row r="78" spans="2:3" x14ac:dyDescent="0.35">
      <c r="B78" s="7" t="s">
        <v>105</v>
      </c>
    </row>
    <row r="79" spans="2:3" x14ac:dyDescent="0.35">
      <c r="B79" s="7" t="s">
        <v>106</v>
      </c>
    </row>
    <row r="80" spans="2:3" x14ac:dyDescent="0.35">
      <c r="B80" s="7" t="s">
        <v>107</v>
      </c>
    </row>
    <row r="81" spans="1:2" x14ac:dyDescent="0.35">
      <c r="B81" s="7" t="s">
        <v>108</v>
      </c>
    </row>
    <row r="84" spans="1:2" x14ac:dyDescent="0.35">
      <c r="A84" s="9" t="s">
        <v>109</v>
      </c>
    </row>
    <row r="85" spans="1:2" x14ac:dyDescent="0.35">
      <c r="B85" s="7" t="s">
        <v>110</v>
      </c>
    </row>
    <row r="86" spans="1:2" x14ac:dyDescent="0.35">
      <c r="B86" s="7" t="s">
        <v>111</v>
      </c>
    </row>
    <row r="87" spans="1:2" x14ac:dyDescent="0.35">
      <c r="B87" s="7" t="s">
        <v>112</v>
      </c>
    </row>
    <row r="88" spans="1:2" x14ac:dyDescent="0.35">
      <c r="B88" s="7" t="s">
        <v>113</v>
      </c>
    </row>
    <row r="89" spans="1:2" x14ac:dyDescent="0.35">
      <c r="B89" s="7" t="s">
        <v>86</v>
      </c>
    </row>
    <row r="90" spans="1:2" x14ac:dyDescent="0.35">
      <c r="B90" s="7" t="s">
        <v>114</v>
      </c>
    </row>
    <row r="91" spans="1:2" x14ac:dyDescent="0.35">
      <c r="B91" s="7" t="s">
        <v>87</v>
      </c>
    </row>
    <row r="92" spans="1:2" x14ac:dyDescent="0.35">
      <c r="B92" s="7" t="s">
        <v>115</v>
      </c>
    </row>
  </sheetData>
  <mergeCells count="1">
    <mergeCell ref="A1:E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5C332-EADC-4299-8BBA-C64950D7922A}">
  <sheetPr codeName="Hoja5"/>
  <dimension ref="B3:P58"/>
  <sheetViews>
    <sheetView topLeftCell="L1" workbookViewId="0">
      <selection activeCell="M46" sqref="M46"/>
    </sheetView>
  </sheetViews>
  <sheetFormatPr baseColWidth="10" defaultRowHeight="14.5" x14ac:dyDescent="0.35"/>
  <cols>
    <col min="2" max="2" width="93.26953125" customWidth="1"/>
    <col min="3" max="3" width="36" customWidth="1"/>
    <col min="6" max="6" width="43" customWidth="1"/>
    <col min="7" max="7" width="33.453125" customWidth="1"/>
    <col min="12" max="12" width="53.7265625" customWidth="1"/>
    <col min="13" max="15" width="40.7265625" customWidth="1"/>
    <col min="16" max="16" width="134.54296875" customWidth="1"/>
    <col min="17" max="17" width="40.7265625" customWidth="1"/>
  </cols>
  <sheetData>
    <row r="3" spans="2:16" x14ac:dyDescent="0.35">
      <c r="L3" s="134" t="s">
        <v>400</v>
      </c>
      <c r="M3" s="134"/>
      <c r="N3" s="134"/>
      <c r="O3" s="134"/>
      <c r="P3" s="134"/>
    </row>
    <row r="4" spans="2:16" x14ac:dyDescent="0.35">
      <c r="B4" s="135" t="s">
        <v>248</v>
      </c>
      <c r="C4" s="135"/>
      <c r="F4" s="136" t="s">
        <v>284</v>
      </c>
      <c r="G4" s="136"/>
      <c r="H4" s="136"/>
      <c r="I4" s="136"/>
      <c r="J4" s="136"/>
      <c r="L4" s="53" t="s">
        <v>311</v>
      </c>
      <c r="M4" s="53" t="s">
        <v>312</v>
      </c>
      <c r="N4" s="53"/>
      <c r="O4" s="53" t="s">
        <v>69</v>
      </c>
      <c r="P4" s="53" t="s">
        <v>250</v>
      </c>
    </row>
    <row r="5" spans="2:16" x14ac:dyDescent="0.35">
      <c r="B5" s="33" t="s">
        <v>247</v>
      </c>
      <c r="C5" s="33" t="s">
        <v>246</v>
      </c>
      <c r="F5" s="37" t="s">
        <v>276</v>
      </c>
      <c r="G5" s="38" t="s">
        <v>277</v>
      </c>
      <c r="H5" s="37" t="s">
        <v>278</v>
      </c>
      <c r="I5" s="37" t="s">
        <v>279</v>
      </c>
      <c r="J5" s="37" t="s">
        <v>69</v>
      </c>
      <c r="L5" s="54" t="s">
        <v>313</v>
      </c>
      <c r="M5" s="54" t="s">
        <v>314</v>
      </c>
      <c r="N5" s="54" t="s">
        <v>315</v>
      </c>
      <c r="O5" s="54" t="s">
        <v>282</v>
      </c>
      <c r="P5" s="54" t="s">
        <v>316</v>
      </c>
    </row>
    <row r="6" spans="2:16" x14ac:dyDescent="0.35">
      <c r="B6" t="s">
        <v>245</v>
      </c>
      <c r="C6" t="s">
        <v>244</v>
      </c>
      <c r="F6" s="29" t="s">
        <v>118</v>
      </c>
      <c r="G6" s="30">
        <v>4</v>
      </c>
      <c r="H6" s="29" t="s">
        <v>280</v>
      </c>
      <c r="I6" s="29" t="s">
        <v>281</v>
      </c>
      <c r="J6" s="29" t="s">
        <v>282</v>
      </c>
      <c r="L6" s="54" t="s">
        <v>317</v>
      </c>
      <c r="M6" s="54" t="s">
        <v>318</v>
      </c>
      <c r="N6" s="54" t="s">
        <v>315</v>
      </c>
      <c r="O6" s="54" t="s">
        <v>282</v>
      </c>
      <c r="P6" s="54" t="s">
        <v>319</v>
      </c>
    </row>
    <row r="7" spans="2:16" x14ac:dyDescent="0.35">
      <c r="B7" t="s">
        <v>243</v>
      </c>
      <c r="C7" t="s">
        <v>242</v>
      </c>
      <c r="F7" s="29" t="s">
        <v>119</v>
      </c>
      <c r="G7" s="30">
        <v>10</v>
      </c>
      <c r="H7" s="29" t="s">
        <v>280</v>
      </c>
      <c r="I7" s="29" t="s">
        <v>281</v>
      </c>
      <c r="J7" s="29" t="s">
        <v>282</v>
      </c>
      <c r="L7" s="54" t="s">
        <v>320</v>
      </c>
      <c r="M7" s="54" t="s">
        <v>321</v>
      </c>
      <c r="N7" s="54" t="s">
        <v>315</v>
      </c>
      <c r="O7" s="54" t="s">
        <v>282</v>
      </c>
      <c r="P7" s="54" t="s">
        <v>322</v>
      </c>
    </row>
    <row r="8" spans="2:16" x14ac:dyDescent="0.35">
      <c r="B8" t="s">
        <v>401</v>
      </c>
      <c r="C8" t="s">
        <v>241</v>
      </c>
      <c r="F8" s="29" t="s">
        <v>120</v>
      </c>
      <c r="G8" s="30">
        <v>10</v>
      </c>
      <c r="H8" s="29" t="s">
        <v>280</v>
      </c>
      <c r="I8" s="29" t="s">
        <v>281</v>
      </c>
      <c r="J8" s="29" t="s">
        <v>282</v>
      </c>
      <c r="L8" s="54" t="s">
        <v>323</v>
      </c>
      <c r="M8" s="54" t="s">
        <v>324</v>
      </c>
      <c r="N8" s="54" t="s">
        <v>315</v>
      </c>
      <c r="O8" s="54" t="s">
        <v>282</v>
      </c>
      <c r="P8" s="54" t="s">
        <v>325</v>
      </c>
    </row>
    <row r="9" spans="2:16" x14ac:dyDescent="0.35">
      <c r="B9" t="s">
        <v>241</v>
      </c>
      <c r="C9" t="s">
        <v>240</v>
      </c>
      <c r="F9" s="29" t="s">
        <v>122</v>
      </c>
      <c r="G9" s="30">
        <v>10.666700000000001</v>
      </c>
      <c r="H9" s="29" t="s">
        <v>280</v>
      </c>
      <c r="I9" s="29" t="s">
        <v>281</v>
      </c>
      <c r="J9" s="29" t="s">
        <v>282</v>
      </c>
      <c r="L9" s="54" t="s">
        <v>326</v>
      </c>
      <c r="M9" s="54" t="s">
        <v>327</v>
      </c>
      <c r="N9" s="54" t="s">
        <v>315</v>
      </c>
      <c r="O9" s="54" t="s">
        <v>282</v>
      </c>
      <c r="P9" s="54" t="s">
        <v>328</v>
      </c>
    </row>
    <row r="10" spans="2:16" x14ac:dyDescent="0.35">
      <c r="F10" s="29" t="s">
        <v>131</v>
      </c>
      <c r="G10" s="30">
        <v>5.3333000000000004</v>
      </c>
      <c r="H10" s="29" t="s">
        <v>280</v>
      </c>
      <c r="I10" s="29" t="s">
        <v>281</v>
      </c>
      <c r="J10" s="29" t="s">
        <v>282</v>
      </c>
      <c r="L10" s="54" t="s">
        <v>329</v>
      </c>
      <c r="M10" s="54" t="s">
        <v>330</v>
      </c>
      <c r="N10" s="54" t="s">
        <v>315</v>
      </c>
      <c r="O10" s="54" t="s">
        <v>282</v>
      </c>
      <c r="P10" s="54" t="s">
        <v>331</v>
      </c>
    </row>
    <row r="11" spans="2:16" x14ac:dyDescent="0.35">
      <c r="B11" s="58" t="s">
        <v>402</v>
      </c>
      <c r="F11" s="29" t="s">
        <v>137</v>
      </c>
      <c r="G11" s="30">
        <v>10.666700000000001</v>
      </c>
      <c r="H11" s="29" t="s">
        <v>280</v>
      </c>
      <c r="I11" s="29" t="s">
        <v>281</v>
      </c>
      <c r="J11" s="29" t="s">
        <v>282</v>
      </c>
      <c r="L11" s="54" t="s">
        <v>332</v>
      </c>
      <c r="M11" s="54" t="s">
        <v>333</v>
      </c>
      <c r="N11" s="54" t="s">
        <v>315</v>
      </c>
      <c r="O11" s="54" t="s">
        <v>282</v>
      </c>
      <c r="P11" s="54" t="s">
        <v>334</v>
      </c>
    </row>
    <row r="12" spans="2:16" x14ac:dyDescent="0.35">
      <c r="F12" s="29" t="s">
        <v>147</v>
      </c>
      <c r="G12" s="30">
        <v>5.3333000000000004</v>
      </c>
      <c r="H12" s="29" t="s">
        <v>280</v>
      </c>
      <c r="I12" s="29" t="s">
        <v>281</v>
      </c>
      <c r="J12" s="29" t="s">
        <v>282</v>
      </c>
      <c r="L12" s="54" t="s">
        <v>335</v>
      </c>
      <c r="M12" s="54" t="s">
        <v>336</v>
      </c>
      <c r="N12" s="54" t="s">
        <v>315</v>
      </c>
      <c r="O12" s="54" t="s">
        <v>282</v>
      </c>
      <c r="P12" s="54" t="s">
        <v>337</v>
      </c>
    </row>
    <row r="13" spans="2:16" x14ac:dyDescent="0.35">
      <c r="B13" t="s">
        <v>699</v>
      </c>
      <c r="F13" s="29" t="s">
        <v>153</v>
      </c>
      <c r="G13" s="30">
        <v>6</v>
      </c>
      <c r="H13" s="29" t="s">
        <v>280</v>
      </c>
      <c r="I13" s="29" t="s">
        <v>281</v>
      </c>
      <c r="J13" s="29" t="s">
        <v>282</v>
      </c>
      <c r="L13" s="54" t="s">
        <v>338</v>
      </c>
      <c r="M13" s="54" t="s">
        <v>339</v>
      </c>
      <c r="N13" s="54" t="s">
        <v>315</v>
      </c>
      <c r="O13" s="54" t="s">
        <v>282</v>
      </c>
      <c r="P13" s="54" t="s">
        <v>340</v>
      </c>
    </row>
    <row r="14" spans="2:16" x14ac:dyDescent="0.35">
      <c r="F14" s="29" t="s">
        <v>155</v>
      </c>
      <c r="G14" s="30">
        <v>3</v>
      </c>
      <c r="H14" s="29" t="s">
        <v>280</v>
      </c>
      <c r="I14" s="29" t="s">
        <v>281</v>
      </c>
      <c r="J14" s="29" t="s">
        <v>282</v>
      </c>
      <c r="L14" s="54" t="s">
        <v>341</v>
      </c>
      <c r="M14" s="54" t="s">
        <v>342</v>
      </c>
      <c r="N14" s="54" t="s">
        <v>315</v>
      </c>
      <c r="O14" s="54" t="s">
        <v>282</v>
      </c>
      <c r="P14" s="54" t="s">
        <v>343</v>
      </c>
    </row>
    <row r="15" spans="2:16" x14ac:dyDescent="0.35">
      <c r="F15" s="39" t="s">
        <v>283</v>
      </c>
      <c r="G15" s="40">
        <v>1.25</v>
      </c>
      <c r="H15" s="29" t="s">
        <v>280</v>
      </c>
      <c r="I15" s="29" t="s">
        <v>281</v>
      </c>
      <c r="J15" s="29" t="s">
        <v>282</v>
      </c>
      <c r="L15" s="54" t="s">
        <v>344</v>
      </c>
      <c r="M15" s="54" t="s">
        <v>345</v>
      </c>
      <c r="N15" s="54" t="s">
        <v>315</v>
      </c>
      <c r="O15" s="54" t="s">
        <v>282</v>
      </c>
      <c r="P15" s="54" t="s">
        <v>346</v>
      </c>
    </row>
    <row r="16" spans="2:16" x14ac:dyDescent="0.35">
      <c r="L16" s="54" t="s">
        <v>347</v>
      </c>
      <c r="M16" s="54" t="s">
        <v>348</v>
      </c>
      <c r="N16" s="54" t="s">
        <v>315</v>
      </c>
      <c r="O16" s="54" t="s">
        <v>282</v>
      </c>
      <c r="P16" s="54" t="s">
        <v>349</v>
      </c>
    </row>
    <row r="17" spans="2:16" x14ac:dyDescent="0.35">
      <c r="L17" s="54" t="s">
        <v>350</v>
      </c>
      <c r="M17" s="54" t="s">
        <v>351</v>
      </c>
      <c r="N17" s="54" t="s">
        <v>315</v>
      </c>
      <c r="O17" s="54" t="s">
        <v>282</v>
      </c>
      <c r="P17" s="54" t="s">
        <v>352</v>
      </c>
    </row>
    <row r="18" spans="2:16" x14ac:dyDescent="0.35">
      <c r="L18" s="54" t="s">
        <v>353</v>
      </c>
      <c r="M18" s="54" t="s">
        <v>354</v>
      </c>
      <c r="N18" s="54" t="s">
        <v>315</v>
      </c>
      <c r="O18" s="54" t="s">
        <v>282</v>
      </c>
      <c r="P18" s="54" t="s">
        <v>355</v>
      </c>
    </row>
    <row r="19" spans="2:16" x14ac:dyDescent="0.35">
      <c r="L19" s="54" t="s">
        <v>356</v>
      </c>
      <c r="M19" s="54" t="s">
        <v>333</v>
      </c>
      <c r="N19" s="54" t="s">
        <v>315</v>
      </c>
      <c r="O19" s="54" t="s">
        <v>282</v>
      </c>
      <c r="P19" s="54" t="s">
        <v>334</v>
      </c>
    </row>
    <row r="20" spans="2:16" x14ac:dyDescent="0.35">
      <c r="B20" s="134" t="s">
        <v>287</v>
      </c>
      <c r="C20" s="134"/>
      <c r="L20" s="54" t="s">
        <v>357</v>
      </c>
      <c r="M20" s="54" t="s">
        <v>358</v>
      </c>
      <c r="N20" s="54" t="s">
        <v>315</v>
      </c>
      <c r="O20" s="54" t="s">
        <v>282</v>
      </c>
      <c r="P20" s="54" t="s">
        <v>359</v>
      </c>
    </row>
    <row r="21" spans="2:16" x14ac:dyDescent="0.35">
      <c r="B21" s="46" t="s">
        <v>6</v>
      </c>
      <c r="C21" s="45"/>
      <c r="F21" t="s">
        <v>247</v>
      </c>
      <c r="G21" t="s">
        <v>291</v>
      </c>
      <c r="L21" s="54" t="s">
        <v>360</v>
      </c>
      <c r="M21" s="54" t="s">
        <v>361</v>
      </c>
      <c r="N21" s="54" t="s">
        <v>315</v>
      </c>
      <c r="O21" s="54" t="s">
        <v>282</v>
      </c>
      <c r="P21" s="54" t="s">
        <v>362</v>
      </c>
    </row>
    <row r="22" spans="2:16" x14ac:dyDescent="0.35">
      <c r="B22" s="41" t="s">
        <v>10</v>
      </c>
      <c r="C22" t="s">
        <v>286</v>
      </c>
      <c r="F22" t="s">
        <v>6</v>
      </c>
      <c r="G22" t="s">
        <v>289</v>
      </c>
      <c r="L22" s="54" t="s">
        <v>363</v>
      </c>
      <c r="M22" s="54" t="s">
        <v>364</v>
      </c>
      <c r="N22" s="54" t="s">
        <v>315</v>
      </c>
      <c r="O22" s="54" t="s">
        <v>282</v>
      </c>
      <c r="P22" s="54" t="s">
        <v>365</v>
      </c>
    </row>
    <row r="23" spans="2:16" x14ac:dyDescent="0.35">
      <c r="B23" s="41" t="s">
        <v>9</v>
      </c>
      <c r="C23" t="s">
        <v>286</v>
      </c>
      <c r="F23" t="s">
        <v>288</v>
      </c>
      <c r="G23" t="s">
        <v>290</v>
      </c>
      <c r="L23" s="55" t="s">
        <v>366</v>
      </c>
      <c r="M23" s="56"/>
      <c r="N23" s="55" t="s">
        <v>367</v>
      </c>
      <c r="O23" s="55" t="s">
        <v>368</v>
      </c>
    </row>
    <row r="24" spans="2:16" x14ac:dyDescent="0.35">
      <c r="B24" s="41" t="s">
        <v>13</v>
      </c>
      <c r="C24" t="s">
        <v>286</v>
      </c>
      <c r="L24" s="55" t="s">
        <v>369</v>
      </c>
      <c r="M24" s="56"/>
      <c r="N24" s="55" t="s">
        <v>367</v>
      </c>
      <c r="O24" s="55" t="s">
        <v>370</v>
      </c>
    </row>
    <row r="25" spans="2:16" x14ac:dyDescent="0.35">
      <c r="B25" s="41" t="s">
        <v>16</v>
      </c>
      <c r="C25" t="s">
        <v>286</v>
      </c>
      <c r="L25" s="55" t="s">
        <v>371</v>
      </c>
      <c r="M25" s="56"/>
      <c r="N25" s="55" t="s">
        <v>367</v>
      </c>
      <c r="O25" s="55" t="s">
        <v>372</v>
      </c>
    </row>
    <row r="26" spans="2:16" x14ac:dyDescent="0.35">
      <c r="B26" s="41" t="s">
        <v>14</v>
      </c>
      <c r="C26" t="s">
        <v>286</v>
      </c>
      <c r="L26" s="55" t="s">
        <v>373</v>
      </c>
      <c r="M26" s="56"/>
      <c r="N26" s="55" t="s">
        <v>367</v>
      </c>
      <c r="O26" s="55" t="s">
        <v>374</v>
      </c>
    </row>
    <row r="27" spans="2:16" x14ac:dyDescent="0.35">
      <c r="B27" s="41" t="s">
        <v>19</v>
      </c>
      <c r="C27" t="s">
        <v>286</v>
      </c>
      <c r="L27" s="55" t="s">
        <v>375</v>
      </c>
      <c r="M27" s="56"/>
      <c r="N27" s="55" t="s">
        <v>367</v>
      </c>
      <c r="O27" s="55" t="s">
        <v>372</v>
      </c>
    </row>
    <row r="28" spans="2:16" x14ac:dyDescent="0.35">
      <c r="B28" s="41" t="s">
        <v>21</v>
      </c>
      <c r="C28" t="s">
        <v>286</v>
      </c>
      <c r="L28" s="55" t="s">
        <v>376</v>
      </c>
      <c r="M28" s="56"/>
      <c r="N28" s="55" t="s">
        <v>367</v>
      </c>
      <c r="O28" s="55" t="s">
        <v>368</v>
      </c>
    </row>
    <row r="29" spans="2:16" x14ac:dyDescent="0.35">
      <c r="B29" s="41" t="s">
        <v>23</v>
      </c>
      <c r="C29" t="s">
        <v>286</v>
      </c>
      <c r="L29" s="55" t="s">
        <v>377</v>
      </c>
      <c r="M29" s="56"/>
      <c r="N29" s="55" t="s">
        <v>367</v>
      </c>
      <c r="O29" s="55" t="s">
        <v>378</v>
      </c>
    </row>
    <row r="30" spans="2:16" x14ac:dyDescent="0.35">
      <c r="B30" s="41" t="s">
        <v>25</v>
      </c>
      <c r="C30" t="s">
        <v>286</v>
      </c>
      <c r="L30" s="55" t="s">
        <v>379</v>
      </c>
      <c r="M30" s="56"/>
      <c r="N30" s="55" t="s">
        <v>367</v>
      </c>
      <c r="O30" s="55" t="s">
        <v>380</v>
      </c>
    </row>
    <row r="31" spans="2:16" x14ac:dyDescent="0.35">
      <c r="B31" s="41" t="s">
        <v>26</v>
      </c>
      <c r="C31" t="s">
        <v>286</v>
      </c>
      <c r="L31" s="55" t="s">
        <v>381</v>
      </c>
      <c r="M31" s="56"/>
      <c r="N31" s="55" t="s">
        <v>367</v>
      </c>
      <c r="O31" s="55" t="s">
        <v>368</v>
      </c>
    </row>
    <row r="32" spans="2:16" x14ac:dyDescent="0.35">
      <c r="B32" s="41" t="s">
        <v>27</v>
      </c>
      <c r="C32" t="s">
        <v>286</v>
      </c>
      <c r="L32" s="55" t="s">
        <v>382</v>
      </c>
      <c r="M32" s="56"/>
      <c r="N32" s="55" t="s">
        <v>367</v>
      </c>
      <c r="O32" s="55" t="s">
        <v>368</v>
      </c>
    </row>
    <row r="33" spans="2:15" x14ac:dyDescent="0.35">
      <c r="B33" s="41" t="s">
        <v>28</v>
      </c>
      <c r="C33" t="s">
        <v>286</v>
      </c>
      <c r="L33" s="55" t="s">
        <v>383</v>
      </c>
      <c r="M33" s="56"/>
      <c r="N33" s="55" t="s">
        <v>367</v>
      </c>
      <c r="O33" s="55" t="s">
        <v>384</v>
      </c>
    </row>
    <row r="34" spans="2:15" x14ac:dyDescent="0.35">
      <c r="B34" s="41" t="s">
        <v>24</v>
      </c>
      <c r="C34" t="s">
        <v>286</v>
      </c>
      <c r="L34" s="55" t="s">
        <v>385</v>
      </c>
      <c r="M34" s="56"/>
      <c r="N34" s="55" t="s">
        <v>367</v>
      </c>
      <c r="O34" s="55" t="s">
        <v>386</v>
      </c>
    </row>
    <row r="35" spans="2:15" x14ac:dyDescent="0.35">
      <c r="B35" s="44" t="s">
        <v>7</v>
      </c>
      <c r="C35" s="45"/>
      <c r="L35" s="55" t="s">
        <v>387</v>
      </c>
      <c r="M35" s="56"/>
      <c r="N35" s="55" t="s">
        <v>367</v>
      </c>
      <c r="O35" s="55" t="s">
        <v>368</v>
      </c>
    </row>
    <row r="36" spans="2:15" x14ac:dyDescent="0.35">
      <c r="B36" s="42" t="s">
        <v>11</v>
      </c>
      <c r="C36" t="s">
        <v>285</v>
      </c>
      <c r="L36" s="55" t="s">
        <v>388</v>
      </c>
      <c r="M36" s="56"/>
      <c r="N36" s="55" t="s">
        <v>367</v>
      </c>
      <c r="O36" s="55" t="s">
        <v>389</v>
      </c>
    </row>
    <row r="37" spans="2:15" x14ac:dyDescent="0.35">
      <c r="B37" s="42" t="s">
        <v>12</v>
      </c>
      <c r="C37" t="s">
        <v>285</v>
      </c>
      <c r="L37" s="55" t="s">
        <v>390</v>
      </c>
      <c r="M37" s="56"/>
      <c r="N37" s="55" t="s">
        <v>367</v>
      </c>
      <c r="O37" s="55" t="s">
        <v>368</v>
      </c>
    </row>
    <row r="38" spans="2:15" x14ac:dyDescent="0.35">
      <c r="B38" s="42" t="s">
        <v>14</v>
      </c>
      <c r="C38" t="s">
        <v>285</v>
      </c>
      <c r="L38" s="55" t="s">
        <v>391</v>
      </c>
      <c r="M38" s="56"/>
      <c r="N38" s="55" t="s">
        <v>367</v>
      </c>
      <c r="O38" s="55" t="s">
        <v>380</v>
      </c>
    </row>
    <row r="39" spans="2:15" x14ac:dyDescent="0.35">
      <c r="B39" s="42" t="s">
        <v>17</v>
      </c>
      <c r="C39" t="s">
        <v>285</v>
      </c>
      <c r="L39" s="55" t="s">
        <v>392</v>
      </c>
      <c r="M39" s="56"/>
      <c r="N39" s="55" t="s">
        <v>367</v>
      </c>
      <c r="O39" s="55" t="s">
        <v>380</v>
      </c>
    </row>
    <row r="40" spans="2:15" x14ac:dyDescent="0.35">
      <c r="B40" s="42" t="s">
        <v>18</v>
      </c>
      <c r="C40" t="s">
        <v>285</v>
      </c>
      <c r="L40" s="55" t="s">
        <v>393</v>
      </c>
      <c r="M40" s="56"/>
      <c r="N40" s="55" t="s">
        <v>367</v>
      </c>
      <c r="O40" s="55" t="s">
        <v>368</v>
      </c>
    </row>
    <row r="41" spans="2:15" x14ac:dyDescent="0.35">
      <c r="B41" s="42" t="s">
        <v>20</v>
      </c>
      <c r="C41" t="s">
        <v>285</v>
      </c>
      <c r="L41" s="55" t="s">
        <v>394</v>
      </c>
      <c r="M41" s="56"/>
      <c r="N41" s="55" t="s">
        <v>367</v>
      </c>
      <c r="O41" s="55" t="s">
        <v>368</v>
      </c>
    </row>
    <row r="42" spans="2:15" x14ac:dyDescent="0.35">
      <c r="B42" s="42" t="s">
        <v>22</v>
      </c>
      <c r="C42" t="s">
        <v>285</v>
      </c>
      <c r="L42" s="55" t="s">
        <v>395</v>
      </c>
      <c r="M42" s="56"/>
      <c r="N42" s="55" t="s">
        <v>367</v>
      </c>
      <c r="O42" s="55" t="s">
        <v>396</v>
      </c>
    </row>
    <row r="43" spans="2:15" x14ac:dyDescent="0.35">
      <c r="B43" s="42" t="s">
        <v>24</v>
      </c>
      <c r="C43" t="s">
        <v>285</v>
      </c>
      <c r="L43" s="55" t="s">
        <v>397</v>
      </c>
      <c r="M43" s="56"/>
      <c r="N43" s="55" t="s">
        <v>367</v>
      </c>
      <c r="O43" s="55" t="s">
        <v>368</v>
      </c>
    </row>
    <row r="44" spans="2:15" x14ac:dyDescent="0.35">
      <c r="B44" s="43"/>
      <c r="L44" s="55" t="s">
        <v>398</v>
      </c>
      <c r="M44" s="56"/>
      <c r="N44" s="55" t="s">
        <v>367</v>
      </c>
      <c r="O44" s="55" t="s">
        <v>368</v>
      </c>
    </row>
    <row r="45" spans="2:15" x14ac:dyDescent="0.35">
      <c r="B45" s="43"/>
      <c r="L45" s="55" t="s">
        <v>399</v>
      </c>
      <c r="M45" s="56"/>
      <c r="N45" s="55" t="s">
        <v>367</v>
      </c>
      <c r="O45" s="55" t="s">
        <v>368</v>
      </c>
    </row>
    <row r="48" spans="2:15" x14ac:dyDescent="0.35">
      <c r="B48" s="132" t="s">
        <v>310</v>
      </c>
      <c r="C48" s="133"/>
    </row>
    <row r="49" spans="2:3" x14ac:dyDescent="0.35">
      <c r="B49" s="47" t="s">
        <v>292</v>
      </c>
      <c r="C49" s="48" t="s">
        <v>302</v>
      </c>
    </row>
    <row r="50" spans="2:3" x14ac:dyDescent="0.35">
      <c r="B50" s="47" t="s">
        <v>293</v>
      </c>
      <c r="C50" s="48" t="s">
        <v>293</v>
      </c>
    </row>
    <row r="51" spans="2:3" x14ac:dyDescent="0.35">
      <c r="B51" s="49" t="s">
        <v>294</v>
      </c>
      <c r="C51" s="50" t="s">
        <v>303</v>
      </c>
    </row>
    <row r="52" spans="2:3" x14ac:dyDescent="0.35">
      <c r="B52" s="47" t="s">
        <v>295</v>
      </c>
      <c r="C52" s="50" t="s">
        <v>306</v>
      </c>
    </row>
    <row r="53" spans="2:3" x14ac:dyDescent="0.35">
      <c r="B53" s="49" t="s">
        <v>296</v>
      </c>
      <c r="C53" s="48" t="s">
        <v>304</v>
      </c>
    </row>
    <row r="54" spans="2:3" x14ac:dyDescent="0.35">
      <c r="B54" s="47" t="s">
        <v>299</v>
      </c>
      <c r="C54" s="48" t="s">
        <v>299</v>
      </c>
    </row>
    <row r="55" spans="2:3" x14ac:dyDescent="0.35">
      <c r="B55" s="49" t="s">
        <v>300</v>
      </c>
      <c r="C55" s="50" t="s">
        <v>305</v>
      </c>
    </row>
    <row r="56" spans="2:3" x14ac:dyDescent="0.35">
      <c r="B56" s="49" t="s">
        <v>297</v>
      </c>
      <c r="C56" s="50" t="s">
        <v>309</v>
      </c>
    </row>
    <row r="57" spans="2:3" x14ac:dyDescent="0.35">
      <c r="B57" s="47" t="s">
        <v>298</v>
      </c>
      <c r="C57" s="48" t="s">
        <v>307</v>
      </c>
    </row>
    <row r="58" spans="2:3" x14ac:dyDescent="0.35">
      <c r="B58" s="51" t="s">
        <v>301</v>
      </c>
      <c r="C58" s="52" t="s">
        <v>308</v>
      </c>
    </row>
  </sheetData>
  <mergeCells count="5">
    <mergeCell ref="B48:C48"/>
    <mergeCell ref="L3:P3"/>
    <mergeCell ref="B4:C4"/>
    <mergeCell ref="F4:J4"/>
    <mergeCell ref="B20:C2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ntrol 1">
          <controlPr defaultSize="0" r:id="rId4">
            <anchor moveWithCells="1">
              <from>
                <xdr:col>2</xdr:col>
                <xdr:colOff>0</xdr:colOff>
                <xdr:row>45</xdr:row>
                <xdr:rowOff>146050</xdr:rowOff>
              </from>
              <to>
                <xdr:col>2</xdr:col>
                <xdr:colOff>914400</xdr:colOff>
                <xdr:row>47</xdr:row>
                <xdr:rowOff>6350</xdr:rowOff>
              </to>
            </anchor>
          </controlPr>
        </control>
      </mc:Choice>
      <mc:Fallback>
        <control shapeId="4097" r:id="rId3" name="Control 1"/>
      </mc:Fallback>
    </mc:AlternateContent>
    <mc:AlternateContent xmlns:mc="http://schemas.openxmlformats.org/markup-compatibility/2006">
      <mc:Choice Requires="x14">
        <control shapeId="4098" r:id="rId5" name="Control 2">
          <controlPr defaultSize="0" r:id="rId6">
            <anchor moveWithCells="1">
              <from>
                <xdr:col>3</xdr:col>
                <xdr:colOff>0</xdr:colOff>
                <xdr:row>45</xdr:row>
                <xdr:rowOff>146050</xdr:rowOff>
              </from>
              <to>
                <xdr:col>4</xdr:col>
                <xdr:colOff>152400</xdr:colOff>
                <xdr:row>47</xdr:row>
                <xdr:rowOff>6350</xdr:rowOff>
              </to>
            </anchor>
          </controlPr>
        </control>
      </mc:Choice>
      <mc:Fallback>
        <control shapeId="4098" r:id="rId5" name="Control 2"/>
      </mc:Fallback>
    </mc:AlternateContent>
    <mc:AlternateContent xmlns:mc="http://schemas.openxmlformats.org/markup-compatibility/2006">
      <mc:Choice Requires="x14">
        <control shapeId="4099" r:id="rId7" name="Control 3">
          <controlPr defaultSize="0" r:id="rId8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099" r:id="rId7" name="Control 3"/>
      </mc:Fallback>
    </mc:AlternateContent>
    <mc:AlternateContent xmlns:mc="http://schemas.openxmlformats.org/markup-compatibility/2006">
      <mc:Choice Requires="x14">
        <control shapeId="4100" r:id="rId9" name="Control 4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00" r:id="rId9" name="Control 4"/>
      </mc:Fallback>
    </mc:AlternateContent>
    <mc:AlternateContent xmlns:mc="http://schemas.openxmlformats.org/markup-compatibility/2006">
      <mc:Choice Requires="x14">
        <control shapeId="4101" r:id="rId10" name="Control 5">
          <controlPr defaultSize="0" r:id="rId11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101" r:id="rId10" name="Control 5"/>
      </mc:Fallback>
    </mc:AlternateContent>
    <mc:AlternateContent xmlns:mc="http://schemas.openxmlformats.org/markup-compatibility/2006">
      <mc:Choice Requires="x14">
        <control shapeId="4102" r:id="rId12" name="Control 6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02" r:id="rId12" name="Control 6"/>
      </mc:Fallback>
    </mc:AlternateContent>
    <mc:AlternateContent xmlns:mc="http://schemas.openxmlformats.org/markup-compatibility/2006">
      <mc:Choice Requires="x14">
        <control shapeId="4103" r:id="rId13" name="Control 7">
          <controlPr defaultSize="0" r:id="rId14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103" r:id="rId13" name="Control 7"/>
      </mc:Fallback>
    </mc:AlternateContent>
    <mc:AlternateContent xmlns:mc="http://schemas.openxmlformats.org/markup-compatibility/2006">
      <mc:Choice Requires="x14">
        <control shapeId="4104" r:id="rId15" name="Control 8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04" r:id="rId15" name="Control 8"/>
      </mc:Fallback>
    </mc:AlternateContent>
    <mc:AlternateContent xmlns:mc="http://schemas.openxmlformats.org/markup-compatibility/2006">
      <mc:Choice Requires="x14">
        <control shapeId="4105" r:id="rId16" name="Control 9">
          <controlPr defaultSize="0" r:id="rId17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105" r:id="rId16" name="Control 9"/>
      </mc:Fallback>
    </mc:AlternateContent>
    <mc:AlternateContent xmlns:mc="http://schemas.openxmlformats.org/markup-compatibility/2006">
      <mc:Choice Requires="x14">
        <control shapeId="4106" r:id="rId18" name="Control 10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06" r:id="rId18" name="Control 10"/>
      </mc:Fallback>
    </mc:AlternateContent>
    <mc:AlternateContent xmlns:mc="http://schemas.openxmlformats.org/markup-compatibility/2006">
      <mc:Choice Requires="x14">
        <control shapeId="4107" r:id="rId19" name="Control 11">
          <controlPr defaultSize="0" r:id="rId20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107" r:id="rId19" name="Control 11"/>
      </mc:Fallback>
    </mc:AlternateContent>
    <mc:AlternateContent xmlns:mc="http://schemas.openxmlformats.org/markup-compatibility/2006">
      <mc:Choice Requires="x14">
        <control shapeId="4108" r:id="rId21" name="Control 12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08" r:id="rId21" name="Control 12"/>
      </mc:Fallback>
    </mc:AlternateContent>
    <mc:AlternateContent xmlns:mc="http://schemas.openxmlformats.org/markup-compatibility/2006">
      <mc:Choice Requires="x14">
        <control shapeId="4109" r:id="rId22" name="Control 13">
          <controlPr defaultSize="0" r:id="rId23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109" r:id="rId22" name="Control 13"/>
      </mc:Fallback>
    </mc:AlternateContent>
    <mc:AlternateContent xmlns:mc="http://schemas.openxmlformats.org/markup-compatibility/2006">
      <mc:Choice Requires="x14">
        <control shapeId="4110" r:id="rId24" name="Control 14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10" r:id="rId24" name="Control 14"/>
      </mc:Fallback>
    </mc:AlternateContent>
    <mc:AlternateContent xmlns:mc="http://schemas.openxmlformats.org/markup-compatibility/2006">
      <mc:Choice Requires="x14">
        <control shapeId="4111" r:id="rId25" name="Control 15">
          <controlPr defaultSize="0" r:id="rId26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111" r:id="rId25" name="Control 15"/>
      </mc:Fallback>
    </mc:AlternateContent>
    <mc:AlternateContent xmlns:mc="http://schemas.openxmlformats.org/markup-compatibility/2006">
      <mc:Choice Requires="x14">
        <control shapeId="4112" r:id="rId27" name="Control 16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12" r:id="rId27" name="Control 16"/>
      </mc:Fallback>
    </mc:AlternateContent>
    <mc:AlternateContent xmlns:mc="http://schemas.openxmlformats.org/markup-compatibility/2006">
      <mc:Choice Requires="x14">
        <control shapeId="4113" r:id="rId28" name="Control 17">
          <controlPr defaultSize="0" r:id="rId29">
            <anchor moveWithCells="1">
              <from>
                <xdr:col>6</xdr:col>
                <xdr:colOff>12700</xdr:colOff>
                <xdr:row>45</xdr:row>
                <xdr:rowOff>146050</xdr:rowOff>
              </from>
              <to>
                <xdr:col>6</xdr:col>
                <xdr:colOff>927100</xdr:colOff>
                <xdr:row>47</xdr:row>
                <xdr:rowOff>6350</xdr:rowOff>
              </to>
            </anchor>
          </controlPr>
        </control>
      </mc:Choice>
      <mc:Fallback>
        <control shapeId="4113" r:id="rId28" name="Control 17"/>
      </mc:Fallback>
    </mc:AlternateContent>
    <mc:AlternateContent xmlns:mc="http://schemas.openxmlformats.org/markup-compatibility/2006">
      <mc:Choice Requires="x14">
        <control shapeId="4114" r:id="rId30" name="Control 18">
          <controlPr defaultSize="0" r:id="rId6">
            <anchor moveWithCells="1">
              <from>
                <xdr:col>7</xdr:col>
                <xdr:colOff>12700</xdr:colOff>
                <xdr:row>45</xdr:row>
                <xdr:rowOff>146050</xdr:rowOff>
              </from>
              <to>
                <xdr:col>8</xdr:col>
                <xdr:colOff>165100</xdr:colOff>
                <xdr:row>47</xdr:row>
                <xdr:rowOff>6350</xdr:rowOff>
              </to>
            </anchor>
          </controlPr>
        </control>
      </mc:Choice>
      <mc:Fallback>
        <control shapeId="4114" r:id="rId30" name="Control 1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BD43-4D34-440F-B2AA-74B135EB9503}">
  <dimension ref="A1:B8"/>
  <sheetViews>
    <sheetView workbookViewId="0">
      <selection activeCell="E19" sqref="E19"/>
    </sheetView>
  </sheetViews>
  <sheetFormatPr baseColWidth="10" defaultRowHeight="14.5" x14ac:dyDescent="0.35"/>
  <cols>
    <col min="2" max="2" width="41.54296875" bestFit="1" customWidth="1"/>
  </cols>
  <sheetData>
    <row r="1" spans="1:2" ht="20" customHeight="1" x14ac:dyDescent="0.35">
      <c r="A1" s="142" t="s">
        <v>730</v>
      </c>
    </row>
    <row r="2" spans="1:2" x14ac:dyDescent="0.35">
      <c r="A2" s="140" t="s">
        <v>272</v>
      </c>
      <c r="B2" s="141" t="s">
        <v>250</v>
      </c>
    </row>
    <row r="3" spans="1:2" ht="14.5" customHeight="1" x14ac:dyDescent="0.35">
      <c r="A3" s="143" t="s">
        <v>264</v>
      </c>
      <c r="B3" s="144" t="s">
        <v>253</v>
      </c>
    </row>
    <row r="4" spans="1:2" ht="14.5" customHeight="1" x14ac:dyDescent="0.35">
      <c r="A4" s="143" t="s">
        <v>265</v>
      </c>
      <c r="B4" s="144" t="s">
        <v>255</v>
      </c>
    </row>
    <row r="5" spans="1:2" ht="14.5" customHeight="1" x14ac:dyDescent="0.35">
      <c r="A5" s="143" t="s">
        <v>266</v>
      </c>
      <c r="B5" s="144" t="s">
        <v>257</v>
      </c>
    </row>
    <row r="6" spans="1:2" ht="14.5" customHeight="1" x14ac:dyDescent="0.35">
      <c r="A6" s="143" t="s">
        <v>267</v>
      </c>
      <c r="B6" s="144" t="s">
        <v>259</v>
      </c>
    </row>
    <row r="7" spans="1:2" ht="14.5" customHeight="1" x14ac:dyDescent="0.35">
      <c r="A7" s="143" t="s">
        <v>268</v>
      </c>
      <c r="B7" s="144" t="s">
        <v>261</v>
      </c>
    </row>
    <row r="8" spans="1:2" ht="14.5" customHeight="1" x14ac:dyDescent="0.35">
      <c r="A8" s="143" t="s">
        <v>269</v>
      </c>
      <c r="B8" s="144" t="s">
        <v>263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01BE5-20D5-445B-92D8-03917A6766F5}">
  <dimension ref="A1:B3"/>
  <sheetViews>
    <sheetView workbookViewId="0">
      <selection activeCell="F24" sqref="F24"/>
    </sheetView>
  </sheetViews>
  <sheetFormatPr baseColWidth="10" defaultRowHeight="14.5" x14ac:dyDescent="0.35"/>
  <cols>
    <col min="2" max="2" width="19.6328125" customWidth="1"/>
  </cols>
  <sheetData>
    <row r="1" spans="1:2" s="153" customFormat="1" ht="20.5" customHeight="1" x14ac:dyDescent="0.35">
      <c r="A1" s="152" t="s">
        <v>873</v>
      </c>
      <c r="B1" s="152" t="s">
        <v>250</v>
      </c>
    </row>
    <row r="2" spans="1:2" s="153" customFormat="1" ht="20.5" customHeight="1" x14ac:dyDescent="0.35">
      <c r="A2" s="150" t="s">
        <v>869</v>
      </c>
      <c r="B2" s="151" t="s">
        <v>870</v>
      </c>
    </row>
    <row r="3" spans="1:2" s="153" customFormat="1" ht="20.5" customHeight="1" x14ac:dyDescent="0.35">
      <c r="A3" s="150" t="s">
        <v>871</v>
      </c>
      <c r="B3" s="151" t="s">
        <v>872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DD1A-3758-4899-A761-E5C5091425DE}">
  <sheetPr codeName="Hoja7"/>
  <dimension ref="A1:C298"/>
  <sheetViews>
    <sheetView workbookViewId="0">
      <selection activeCell="G32" sqref="G32"/>
    </sheetView>
  </sheetViews>
  <sheetFormatPr baseColWidth="10" defaultColWidth="11.453125" defaultRowHeight="14.5" x14ac:dyDescent="0.35"/>
  <cols>
    <col min="1" max="1" width="60.453125" customWidth="1"/>
    <col min="2" max="16384" width="11.453125" style="60"/>
  </cols>
  <sheetData>
    <row r="1" spans="1:3" x14ac:dyDescent="0.35">
      <c r="A1" s="59" t="s">
        <v>403</v>
      </c>
      <c r="B1" s="60">
        <v>3</v>
      </c>
    </row>
    <row r="2" spans="1:3" x14ac:dyDescent="0.35">
      <c r="C2" s="60" t="s">
        <v>711</v>
      </c>
    </row>
    <row r="3" spans="1:3" x14ac:dyDescent="0.35">
      <c r="A3" s="20" t="s">
        <v>404</v>
      </c>
      <c r="B3" s="149" t="s">
        <v>712</v>
      </c>
      <c r="C3" s="60" t="s">
        <v>712</v>
      </c>
    </row>
    <row r="4" spans="1:3" x14ac:dyDescent="0.35">
      <c r="A4" s="20" t="s">
        <v>405</v>
      </c>
      <c r="B4" s="149" t="s">
        <v>712</v>
      </c>
      <c r="C4" s="60" t="s">
        <v>713</v>
      </c>
    </row>
    <row r="5" spans="1:3" x14ac:dyDescent="0.35">
      <c r="A5" s="20" t="s">
        <v>406</v>
      </c>
      <c r="B5" s="149" t="s">
        <v>712</v>
      </c>
    </row>
    <row r="6" spans="1:3" ht="15.75" customHeight="1" x14ac:dyDescent="0.35">
      <c r="A6" s="20" t="s">
        <v>407</v>
      </c>
      <c r="B6" s="149" t="s">
        <v>712</v>
      </c>
    </row>
    <row r="7" spans="1:3" x14ac:dyDescent="0.35">
      <c r="A7" s="20" t="s">
        <v>408</v>
      </c>
      <c r="B7" s="149" t="s">
        <v>712</v>
      </c>
    </row>
    <row r="8" spans="1:3" x14ac:dyDescent="0.35">
      <c r="A8" s="20" t="s">
        <v>409</v>
      </c>
      <c r="B8" s="149" t="s">
        <v>712</v>
      </c>
    </row>
    <row r="9" spans="1:3" x14ac:dyDescent="0.35">
      <c r="A9" s="20" t="s">
        <v>410</v>
      </c>
      <c r="B9" s="149" t="s">
        <v>712</v>
      </c>
    </row>
    <row r="10" spans="1:3" x14ac:dyDescent="0.35">
      <c r="A10" s="20" t="s">
        <v>411</v>
      </c>
      <c r="B10" s="149" t="s">
        <v>712</v>
      </c>
    </row>
    <row r="11" spans="1:3" x14ac:dyDescent="0.35">
      <c r="A11" s="20" t="s">
        <v>412</v>
      </c>
      <c r="B11" s="149" t="s">
        <v>712</v>
      </c>
    </row>
    <row r="12" spans="1:3" x14ac:dyDescent="0.35">
      <c r="A12" s="20" t="s">
        <v>413</v>
      </c>
      <c r="B12" s="149" t="s">
        <v>712</v>
      </c>
    </row>
    <row r="13" spans="1:3" x14ac:dyDescent="0.35">
      <c r="A13" s="20" t="s">
        <v>414</v>
      </c>
      <c r="B13" s="149" t="s">
        <v>712</v>
      </c>
    </row>
    <row r="14" spans="1:3" ht="13.5" customHeight="1" x14ac:dyDescent="0.35">
      <c r="A14" s="20" t="s">
        <v>415</v>
      </c>
      <c r="B14" s="149" t="s">
        <v>711</v>
      </c>
    </row>
    <row r="15" spans="1:3" x14ac:dyDescent="0.35">
      <c r="A15" s="20" t="s">
        <v>416</v>
      </c>
      <c r="B15" s="149" t="s">
        <v>711</v>
      </c>
    </row>
    <row r="16" spans="1:3" x14ac:dyDescent="0.35">
      <c r="A16" s="20" t="s">
        <v>417</v>
      </c>
      <c r="B16" s="149" t="s">
        <v>712</v>
      </c>
    </row>
    <row r="17" spans="1:2" x14ac:dyDescent="0.35">
      <c r="A17" s="20" t="s">
        <v>418</v>
      </c>
      <c r="B17" s="149" t="s">
        <v>712</v>
      </c>
    </row>
    <row r="18" spans="1:2" x14ac:dyDescent="0.35">
      <c r="A18" s="20" t="s">
        <v>419</v>
      </c>
      <c r="B18" s="149" t="s">
        <v>711</v>
      </c>
    </row>
    <row r="19" spans="1:2" x14ac:dyDescent="0.35">
      <c r="A19" s="20" t="s">
        <v>420</v>
      </c>
      <c r="B19" s="149" t="s">
        <v>711</v>
      </c>
    </row>
    <row r="20" spans="1:2" x14ac:dyDescent="0.35">
      <c r="A20" s="20" t="s">
        <v>421</v>
      </c>
      <c r="B20" s="149" t="s">
        <v>711</v>
      </c>
    </row>
    <row r="21" spans="1:2" x14ac:dyDescent="0.35">
      <c r="A21" s="20" t="s">
        <v>422</v>
      </c>
      <c r="B21" s="149" t="s">
        <v>711</v>
      </c>
    </row>
    <row r="22" spans="1:2" x14ac:dyDescent="0.35">
      <c r="A22" s="20" t="s">
        <v>423</v>
      </c>
      <c r="B22" s="149" t="s">
        <v>712</v>
      </c>
    </row>
    <row r="23" spans="1:2" ht="12.75" customHeight="1" x14ac:dyDescent="0.35">
      <c r="A23" s="20" t="s">
        <v>424</v>
      </c>
      <c r="B23" s="149" t="s">
        <v>711</v>
      </c>
    </row>
    <row r="24" spans="1:2" x14ac:dyDescent="0.35">
      <c r="A24" s="20" t="s">
        <v>425</v>
      </c>
      <c r="B24" s="149" t="s">
        <v>712</v>
      </c>
    </row>
    <row r="25" spans="1:2" x14ac:dyDescent="0.35">
      <c r="A25" s="20" t="s">
        <v>426</v>
      </c>
      <c r="B25" s="149" t="s">
        <v>712</v>
      </c>
    </row>
    <row r="26" spans="1:2" x14ac:dyDescent="0.35">
      <c r="A26" s="20" t="s">
        <v>427</v>
      </c>
      <c r="B26" s="149" t="s">
        <v>711</v>
      </c>
    </row>
    <row r="27" spans="1:2" x14ac:dyDescent="0.35">
      <c r="A27" s="20" t="s">
        <v>428</v>
      </c>
      <c r="B27" s="149" t="s">
        <v>712</v>
      </c>
    </row>
    <row r="28" spans="1:2" x14ac:dyDescent="0.35">
      <c r="A28" s="20" t="s">
        <v>429</v>
      </c>
      <c r="B28" s="149" t="s">
        <v>712</v>
      </c>
    </row>
    <row r="29" spans="1:2" x14ac:dyDescent="0.35">
      <c r="A29" s="20" t="s">
        <v>430</v>
      </c>
      <c r="B29" s="149" t="s">
        <v>712</v>
      </c>
    </row>
    <row r="30" spans="1:2" x14ac:dyDescent="0.35">
      <c r="A30" s="20" t="s">
        <v>431</v>
      </c>
      <c r="B30" s="149" t="s">
        <v>712</v>
      </c>
    </row>
    <row r="31" spans="1:2" x14ac:dyDescent="0.35">
      <c r="A31" s="20" t="s">
        <v>432</v>
      </c>
      <c r="B31" s="149" t="s">
        <v>712</v>
      </c>
    </row>
    <row r="32" spans="1:2" x14ac:dyDescent="0.35">
      <c r="A32" s="20" t="s">
        <v>433</v>
      </c>
      <c r="B32" s="149" t="s">
        <v>712</v>
      </c>
    </row>
    <row r="33" spans="1:2" ht="13.5" customHeight="1" x14ac:dyDescent="0.35">
      <c r="A33" s="20" t="s">
        <v>434</v>
      </c>
      <c r="B33" s="149" t="s">
        <v>712</v>
      </c>
    </row>
    <row r="34" spans="1:2" x14ac:dyDescent="0.35">
      <c r="A34" s="20" t="s">
        <v>435</v>
      </c>
      <c r="B34" s="149" t="s">
        <v>712</v>
      </c>
    </row>
    <row r="35" spans="1:2" x14ac:dyDescent="0.35">
      <c r="A35" s="20" t="s">
        <v>436</v>
      </c>
      <c r="B35" s="149" t="s">
        <v>712</v>
      </c>
    </row>
    <row r="36" spans="1:2" x14ac:dyDescent="0.35">
      <c r="A36" s="20" t="s">
        <v>437</v>
      </c>
      <c r="B36" s="149" t="s">
        <v>712</v>
      </c>
    </row>
    <row r="37" spans="1:2" ht="10.5" customHeight="1" x14ac:dyDescent="0.35">
      <c r="A37" s="20" t="s">
        <v>438</v>
      </c>
      <c r="B37" s="149" t="s">
        <v>711</v>
      </c>
    </row>
    <row r="38" spans="1:2" x14ac:dyDescent="0.35">
      <c r="A38" s="20" t="s">
        <v>439</v>
      </c>
      <c r="B38" s="149" t="s">
        <v>712</v>
      </c>
    </row>
    <row r="39" spans="1:2" x14ac:dyDescent="0.35">
      <c r="A39" s="20" t="s">
        <v>440</v>
      </c>
      <c r="B39" s="149" t="s">
        <v>712</v>
      </c>
    </row>
    <row r="40" spans="1:2" x14ac:dyDescent="0.35">
      <c r="A40" s="20" t="s">
        <v>441</v>
      </c>
      <c r="B40" s="149" t="s">
        <v>711</v>
      </c>
    </row>
    <row r="41" spans="1:2" x14ac:dyDescent="0.35">
      <c r="A41" s="20" t="s">
        <v>442</v>
      </c>
      <c r="B41" s="149" t="s">
        <v>711</v>
      </c>
    </row>
    <row r="42" spans="1:2" x14ac:dyDescent="0.35">
      <c r="A42" s="20" t="s">
        <v>443</v>
      </c>
      <c r="B42" s="149" t="s">
        <v>712</v>
      </c>
    </row>
    <row r="43" spans="1:2" x14ac:dyDescent="0.35">
      <c r="A43" s="20" t="s">
        <v>444</v>
      </c>
      <c r="B43" s="149" t="s">
        <v>712</v>
      </c>
    </row>
    <row r="44" spans="1:2" x14ac:dyDescent="0.35">
      <c r="A44" s="20" t="s">
        <v>445</v>
      </c>
      <c r="B44" s="149" t="s">
        <v>712</v>
      </c>
    </row>
    <row r="45" spans="1:2" x14ac:dyDescent="0.35">
      <c r="A45" s="20" t="s">
        <v>446</v>
      </c>
      <c r="B45" s="149" t="s">
        <v>712</v>
      </c>
    </row>
    <row r="46" spans="1:2" x14ac:dyDescent="0.35">
      <c r="A46" s="20" t="s">
        <v>447</v>
      </c>
      <c r="B46" s="149" t="s">
        <v>712</v>
      </c>
    </row>
    <row r="47" spans="1:2" x14ac:dyDescent="0.35">
      <c r="A47" s="20" t="s">
        <v>448</v>
      </c>
      <c r="B47" s="149" t="s">
        <v>711</v>
      </c>
    </row>
    <row r="48" spans="1:2" x14ac:dyDescent="0.35">
      <c r="A48" s="20" t="s">
        <v>449</v>
      </c>
      <c r="B48" s="149" t="s">
        <v>711</v>
      </c>
    </row>
    <row r="49" spans="1:2" x14ac:dyDescent="0.35">
      <c r="A49" s="20" t="s">
        <v>450</v>
      </c>
      <c r="B49" s="149" t="s">
        <v>711</v>
      </c>
    </row>
    <row r="50" spans="1:2" x14ac:dyDescent="0.35">
      <c r="A50" s="20" t="s">
        <v>451</v>
      </c>
      <c r="B50" s="149" t="s">
        <v>711</v>
      </c>
    </row>
    <row r="51" spans="1:2" x14ac:dyDescent="0.35">
      <c r="A51" s="20" t="s">
        <v>452</v>
      </c>
      <c r="B51" s="149" t="s">
        <v>711</v>
      </c>
    </row>
    <row r="52" spans="1:2" x14ac:dyDescent="0.35">
      <c r="A52" s="20" t="s">
        <v>453</v>
      </c>
      <c r="B52" s="149" t="s">
        <v>711</v>
      </c>
    </row>
    <row r="53" spans="1:2" x14ac:dyDescent="0.35">
      <c r="A53" s="20" t="s">
        <v>454</v>
      </c>
      <c r="B53" s="149" t="s">
        <v>711</v>
      </c>
    </row>
    <row r="54" spans="1:2" x14ac:dyDescent="0.35">
      <c r="A54" s="20" t="s">
        <v>455</v>
      </c>
      <c r="B54" s="149" t="s">
        <v>711</v>
      </c>
    </row>
    <row r="55" spans="1:2" x14ac:dyDescent="0.35">
      <c r="A55" s="20" t="s">
        <v>456</v>
      </c>
      <c r="B55" s="149" t="s">
        <v>712</v>
      </c>
    </row>
    <row r="56" spans="1:2" x14ac:dyDescent="0.35">
      <c r="A56" s="20" t="s">
        <v>457</v>
      </c>
      <c r="B56" s="149" t="s">
        <v>711</v>
      </c>
    </row>
    <row r="57" spans="1:2" x14ac:dyDescent="0.35">
      <c r="A57" s="20" t="s">
        <v>458</v>
      </c>
      <c r="B57" s="149" t="s">
        <v>712</v>
      </c>
    </row>
    <row r="58" spans="1:2" x14ac:dyDescent="0.35">
      <c r="A58" s="20" t="s">
        <v>459</v>
      </c>
      <c r="B58" s="149" t="s">
        <v>712</v>
      </c>
    </row>
    <row r="59" spans="1:2" x14ac:dyDescent="0.35">
      <c r="A59" s="20" t="s">
        <v>460</v>
      </c>
      <c r="B59" s="149" t="s">
        <v>712</v>
      </c>
    </row>
    <row r="60" spans="1:2" x14ac:dyDescent="0.35">
      <c r="A60" s="20" t="s">
        <v>461</v>
      </c>
      <c r="B60" s="149" t="s">
        <v>712</v>
      </c>
    </row>
    <row r="61" spans="1:2" x14ac:dyDescent="0.35">
      <c r="A61" s="20" t="s">
        <v>462</v>
      </c>
      <c r="B61" s="149" t="s">
        <v>712</v>
      </c>
    </row>
    <row r="62" spans="1:2" x14ac:dyDescent="0.35">
      <c r="A62" s="20" t="s">
        <v>463</v>
      </c>
      <c r="B62" s="149"/>
    </row>
    <row r="63" spans="1:2" x14ac:dyDescent="0.35">
      <c r="A63" s="20" t="s">
        <v>464</v>
      </c>
      <c r="B63" s="149" t="s">
        <v>712</v>
      </c>
    </row>
    <row r="64" spans="1:2" x14ac:dyDescent="0.35">
      <c r="A64" s="20" t="s">
        <v>465</v>
      </c>
      <c r="B64" s="149"/>
    </row>
    <row r="65" spans="1:2" x14ac:dyDescent="0.35">
      <c r="A65" s="20" t="s">
        <v>466</v>
      </c>
      <c r="B65" s="149" t="s">
        <v>711</v>
      </c>
    </row>
    <row r="66" spans="1:2" x14ac:dyDescent="0.35">
      <c r="A66" s="20" t="s">
        <v>467</v>
      </c>
      <c r="B66" s="149" t="s">
        <v>711</v>
      </c>
    </row>
    <row r="67" spans="1:2" x14ac:dyDescent="0.35">
      <c r="A67" s="20" t="s">
        <v>468</v>
      </c>
      <c r="B67" s="149" t="s">
        <v>711</v>
      </c>
    </row>
    <row r="68" spans="1:2" x14ac:dyDescent="0.35">
      <c r="A68" s="20" t="s">
        <v>469</v>
      </c>
      <c r="B68" s="149"/>
    </row>
    <row r="69" spans="1:2" x14ac:dyDescent="0.35">
      <c r="A69" s="20" t="s">
        <v>470</v>
      </c>
      <c r="B69" s="149" t="s">
        <v>712</v>
      </c>
    </row>
    <row r="70" spans="1:2" x14ac:dyDescent="0.35">
      <c r="A70" s="20" t="s">
        <v>471</v>
      </c>
      <c r="B70" s="149" t="s">
        <v>712</v>
      </c>
    </row>
    <row r="71" spans="1:2" x14ac:dyDescent="0.35">
      <c r="A71" s="20" t="s">
        <v>472</v>
      </c>
      <c r="B71" s="149" t="s">
        <v>712</v>
      </c>
    </row>
    <row r="72" spans="1:2" x14ac:dyDescent="0.35">
      <c r="A72" s="20" t="s">
        <v>473</v>
      </c>
      <c r="B72" s="149" t="s">
        <v>712</v>
      </c>
    </row>
    <row r="73" spans="1:2" x14ac:dyDescent="0.35">
      <c r="A73" s="20" t="s">
        <v>474</v>
      </c>
      <c r="B73" s="149" t="s">
        <v>712</v>
      </c>
    </row>
    <row r="74" spans="1:2" x14ac:dyDescent="0.35">
      <c r="A74" s="20" t="s">
        <v>475</v>
      </c>
      <c r="B74" s="149" t="s">
        <v>712</v>
      </c>
    </row>
    <row r="75" spans="1:2" x14ac:dyDescent="0.35">
      <c r="A75" s="20" t="s">
        <v>476</v>
      </c>
      <c r="B75" s="149" t="s">
        <v>712</v>
      </c>
    </row>
    <row r="76" spans="1:2" x14ac:dyDescent="0.35">
      <c r="A76" s="20" t="s">
        <v>477</v>
      </c>
      <c r="B76" s="149" t="s">
        <v>712</v>
      </c>
    </row>
    <row r="77" spans="1:2" x14ac:dyDescent="0.35">
      <c r="A77" s="20" t="s">
        <v>478</v>
      </c>
      <c r="B77" s="149" t="s">
        <v>712</v>
      </c>
    </row>
    <row r="78" spans="1:2" x14ac:dyDescent="0.35">
      <c r="A78" s="20" t="s">
        <v>479</v>
      </c>
      <c r="B78" s="149" t="s">
        <v>711</v>
      </c>
    </row>
    <row r="79" spans="1:2" x14ac:dyDescent="0.35">
      <c r="A79" s="20" t="s">
        <v>480</v>
      </c>
      <c r="B79" s="149" t="s">
        <v>712</v>
      </c>
    </row>
    <row r="80" spans="1:2" x14ac:dyDescent="0.35">
      <c r="A80" s="20" t="s">
        <v>481</v>
      </c>
      <c r="B80" s="149" t="s">
        <v>712</v>
      </c>
    </row>
    <row r="81" spans="1:2" x14ac:dyDescent="0.35">
      <c r="A81" s="20" t="s">
        <v>482</v>
      </c>
      <c r="B81" s="149" t="s">
        <v>712</v>
      </c>
    </row>
    <row r="82" spans="1:2" x14ac:dyDescent="0.35">
      <c r="A82" s="20" t="s">
        <v>483</v>
      </c>
      <c r="B82" s="149" t="s">
        <v>712</v>
      </c>
    </row>
    <row r="83" spans="1:2" x14ac:dyDescent="0.35">
      <c r="A83" s="20" t="s">
        <v>484</v>
      </c>
      <c r="B83" s="149" t="s">
        <v>712</v>
      </c>
    </row>
    <row r="84" spans="1:2" x14ac:dyDescent="0.35">
      <c r="A84" s="20" t="s">
        <v>485</v>
      </c>
      <c r="B84" s="149" t="s">
        <v>711</v>
      </c>
    </row>
    <row r="85" spans="1:2" x14ac:dyDescent="0.35">
      <c r="A85" s="20" t="s">
        <v>486</v>
      </c>
      <c r="B85" s="149" t="s">
        <v>711</v>
      </c>
    </row>
    <row r="86" spans="1:2" x14ac:dyDescent="0.35">
      <c r="A86" s="20" t="s">
        <v>487</v>
      </c>
      <c r="B86" s="149" t="s">
        <v>711</v>
      </c>
    </row>
    <row r="87" spans="1:2" x14ac:dyDescent="0.35">
      <c r="A87" s="20" t="s">
        <v>488</v>
      </c>
      <c r="B87" s="149" t="s">
        <v>711</v>
      </c>
    </row>
    <row r="88" spans="1:2" x14ac:dyDescent="0.35">
      <c r="A88" s="20" t="s">
        <v>489</v>
      </c>
      <c r="B88" s="149" t="s">
        <v>711</v>
      </c>
    </row>
    <row r="89" spans="1:2" x14ac:dyDescent="0.35">
      <c r="A89" s="20" t="s">
        <v>490</v>
      </c>
      <c r="B89" s="149" t="s">
        <v>712</v>
      </c>
    </row>
    <row r="90" spans="1:2" x14ac:dyDescent="0.35">
      <c r="A90" s="20" t="s">
        <v>491</v>
      </c>
      <c r="B90" s="149" t="s">
        <v>712</v>
      </c>
    </row>
    <row r="91" spans="1:2" x14ac:dyDescent="0.35">
      <c r="A91" s="20" t="s">
        <v>492</v>
      </c>
      <c r="B91" s="149" t="s">
        <v>712</v>
      </c>
    </row>
    <row r="92" spans="1:2" x14ac:dyDescent="0.35">
      <c r="A92" s="20" t="s">
        <v>493</v>
      </c>
      <c r="B92" s="149" t="s">
        <v>712</v>
      </c>
    </row>
    <row r="93" spans="1:2" x14ac:dyDescent="0.35">
      <c r="A93" s="20" t="s">
        <v>494</v>
      </c>
      <c r="B93" s="149" t="s">
        <v>711</v>
      </c>
    </row>
    <row r="94" spans="1:2" x14ac:dyDescent="0.35">
      <c r="A94" s="20" t="s">
        <v>495</v>
      </c>
      <c r="B94" s="149" t="s">
        <v>711</v>
      </c>
    </row>
    <row r="95" spans="1:2" x14ac:dyDescent="0.35">
      <c r="A95" s="20" t="s">
        <v>496</v>
      </c>
      <c r="B95" s="149" t="s">
        <v>711</v>
      </c>
    </row>
    <row r="96" spans="1:2" x14ac:dyDescent="0.35">
      <c r="A96" s="20" t="s">
        <v>497</v>
      </c>
      <c r="B96" s="149" t="s">
        <v>711</v>
      </c>
    </row>
    <row r="97" spans="1:2" x14ac:dyDescent="0.35">
      <c r="A97" s="20" t="s">
        <v>498</v>
      </c>
      <c r="B97" s="149" t="s">
        <v>712</v>
      </c>
    </row>
    <row r="98" spans="1:2" x14ac:dyDescent="0.35">
      <c r="A98" s="20" t="s">
        <v>499</v>
      </c>
      <c r="B98" s="149" t="s">
        <v>712</v>
      </c>
    </row>
    <row r="99" spans="1:2" x14ac:dyDescent="0.35">
      <c r="A99" s="20" t="s">
        <v>500</v>
      </c>
      <c r="B99" s="149" t="s">
        <v>712</v>
      </c>
    </row>
    <row r="100" spans="1:2" x14ac:dyDescent="0.35">
      <c r="A100" s="20" t="s">
        <v>501</v>
      </c>
      <c r="B100" s="149" t="s">
        <v>712</v>
      </c>
    </row>
    <row r="101" spans="1:2" x14ac:dyDescent="0.35">
      <c r="A101" s="20" t="s">
        <v>502</v>
      </c>
      <c r="B101" s="149" t="s">
        <v>712</v>
      </c>
    </row>
    <row r="102" spans="1:2" x14ac:dyDescent="0.35">
      <c r="A102" s="20" t="s">
        <v>503</v>
      </c>
      <c r="B102" s="149" t="s">
        <v>712</v>
      </c>
    </row>
    <row r="103" spans="1:2" x14ac:dyDescent="0.35">
      <c r="A103" s="20" t="s">
        <v>504</v>
      </c>
      <c r="B103" s="149" t="s">
        <v>711</v>
      </c>
    </row>
    <row r="104" spans="1:2" x14ac:dyDescent="0.35">
      <c r="A104" s="20" t="s">
        <v>505</v>
      </c>
      <c r="B104" s="149" t="s">
        <v>711</v>
      </c>
    </row>
    <row r="105" spans="1:2" x14ac:dyDescent="0.35">
      <c r="A105" s="20" t="s">
        <v>506</v>
      </c>
      <c r="B105" s="149" t="s">
        <v>711</v>
      </c>
    </row>
    <row r="106" spans="1:2" x14ac:dyDescent="0.35">
      <c r="A106" s="20" t="s">
        <v>507</v>
      </c>
      <c r="B106" s="149" t="s">
        <v>711</v>
      </c>
    </row>
    <row r="107" spans="1:2" x14ac:dyDescent="0.35">
      <c r="A107" s="20" t="s">
        <v>508</v>
      </c>
      <c r="B107" s="149" t="s">
        <v>712</v>
      </c>
    </row>
    <row r="108" spans="1:2" x14ac:dyDescent="0.35">
      <c r="A108" s="20" t="s">
        <v>509</v>
      </c>
      <c r="B108" s="149" t="s">
        <v>711</v>
      </c>
    </row>
    <row r="109" spans="1:2" x14ac:dyDescent="0.35">
      <c r="A109" s="20" t="s">
        <v>510</v>
      </c>
      <c r="B109" s="149" t="s">
        <v>712</v>
      </c>
    </row>
    <row r="110" spans="1:2" x14ac:dyDescent="0.35">
      <c r="A110" s="20" t="s">
        <v>511</v>
      </c>
      <c r="B110" s="149" t="s">
        <v>712</v>
      </c>
    </row>
    <row r="111" spans="1:2" x14ac:dyDescent="0.35">
      <c r="A111" s="20" t="s">
        <v>512</v>
      </c>
      <c r="B111" s="149" t="s">
        <v>712</v>
      </c>
    </row>
    <row r="112" spans="1:2" x14ac:dyDescent="0.35">
      <c r="A112" s="20" t="s">
        <v>513</v>
      </c>
      <c r="B112" s="149" t="s">
        <v>712</v>
      </c>
    </row>
    <row r="113" spans="1:2" x14ac:dyDescent="0.35">
      <c r="A113" s="20" t="s">
        <v>514</v>
      </c>
      <c r="B113" s="149" t="s">
        <v>712</v>
      </c>
    </row>
    <row r="114" spans="1:2" x14ac:dyDescent="0.35">
      <c r="A114" s="20" t="s">
        <v>515</v>
      </c>
      <c r="B114" s="149" t="s">
        <v>712</v>
      </c>
    </row>
    <row r="115" spans="1:2" x14ac:dyDescent="0.35">
      <c r="A115" s="20" t="s">
        <v>516</v>
      </c>
      <c r="B115" s="149" t="s">
        <v>712</v>
      </c>
    </row>
    <row r="116" spans="1:2" x14ac:dyDescent="0.35">
      <c r="A116" s="20" t="s">
        <v>517</v>
      </c>
      <c r="B116" s="149" t="s">
        <v>711</v>
      </c>
    </row>
    <row r="117" spans="1:2" x14ac:dyDescent="0.35">
      <c r="A117" s="20" t="s">
        <v>518</v>
      </c>
      <c r="B117" s="149" t="s">
        <v>711</v>
      </c>
    </row>
    <row r="118" spans="1:2" x14ac:dyDescent="0.35">
      <c r="A118" s="20" t="s">
        <v>519</v>
      </c>
      <c r="B118" s="149" t="s">
        <v>712</v>
      </c>
    </row>
    <row r="119" spans="1:2" x14ac:dyDescent="0.35">
      <c r="A119" s="20" t="s">
        <v>520</v>
      </c>
      <c r="B119" s="149" t="s">
        <v>712</v>
      </c>
    </row>
    <row r="120" spans="1:2" x14ac:dyDescent="0.35">
      <c r="A120" s="20" t="s">
        <v>521</v>
      </c>
      <c r="B120" s="149" t="s">
        <v>712</v>
      </c>
    </row>
    <row r="121" spans="1:2" x14ac:dyDescent="0.35">
      <c r="A121" s="20" t="s">
        <v>522</v>
      </c>
      <c r="B121" s="149" t="s">
        <v>711</v>
      </c>
    </row>
    <row r="122" spans="1:2" x14ac:dyDescent="0.35">
      <c r="A122" s="20" t="s">
        <v>523</v>
      </c>
      <c r="B122" s="149" t="s">
        <v>711</v>
      </c>
    </row>
    <row r="123" spans="1:2" x14ac:dyDescent="0.35">
      <c r="A123" s="20" t="s">
        <v>524</v>
      </c>
      <c r="B123" s="149" t="s">
        <v>711</v>
      </c>
    </row>
    <row r="124" spans="1:2" x14ac:dyDescent="0.35">
      <c r="A124" s="20" t="s">
        <v>525</v>
      </c>
      <c r="B124" s="149" t="s">
        <v>712</v>
      </c>
    </row>
    <row r="125" spans="1:2" x14ac:dyDescent="0.35">
      <c r="A125" s="20" t="s">
        <v>526</v>
      </c>
      <c r="B125" s="149" t="s">
        <v>711</v>
      </c>
    </row>
    <row r="126" spans="1:2" x14ac:dyDescent="0.35">
      <c r="A126" s="20" t="s">
        <v>527</v>
      </c>
      <c r="B126" s="149" t="s">
        <v>711</v>
      </c>
    </row>
    <row r="127" spans="1:2" x14ac:dyDescent="0.35">
      <c r="A127" s="20" t="s">
        <v>528</v>
      </c>
      <c r="B127" s="149" t="s">
        <v>712</v>
      </c>
    </row>
    <row r="128" spans="1:2" x14ac:dyDescent="0.35">
      <c r="A128" s="20" t="s">
        <v>529</v>
      </c>
      <c r="B128" s="149" t="s">
        <v>712</v>
      </c>
    </row>
    <row r="129" spans="1:2" x14ac:dyDescent="0.35">
      <c r="A129" s="20" t="s">
        <v>530</v>
      </c>
      <c r="B129" s="149" t="s">
        <v>712</v>
      </c>
    </row>
    <row r="130" spans="1:2" x14ac:dyDescent="0.35">
      <c r="A130" s="20" t="s">
        <v>531</v>
      </c>
      <c r="B130" s="149" t="s">
        <v>712</v>
      </c>
    </row>
    <row r="131" spans="1:2" x14ac:dyDescent="0.35">
      <c r="A131" s="20" t="s">
        <v>532</v>
      </c>
      <c r="B131" s="149" t="s">
        <v>712</v>
      </c>
    </row>
    <row r="132" spans="1:2" x14ac:dyDescent="0.35">
      <c r="A132" s="20" t="s">
        <v>533</v>
      </c>
      <c r="B132" s="149" t="s">
        <v>712</v>
      </c>
    </row>
    <row r="133" spans="1:2" x14ac:dyDescent="0.35">
      <c r="A133" s="20" t="s">
        <v>534</v>
      </c>
      <c r="B133" s="149" t="s">
        <v>712</v>
      </c>
    </row>
    <row r="134" spans="1:2" x14ac:dyDescent="0.35">
      <c r="A134" s="20" t="s">
        <v>535</v>
      </c>
      <c r="B134" s="149" t="s">
        <v>712</v>
      </c>
    </row>
    <row r="135" spans="1:2" x14ac:dyDescent="0.35">
      <c r="A135" s="20" t="s">
        <v>536</v>
      </c>
      <c r="B135" s="149" t="s">
        <v>711</v>
      </c>
    </row>
    <row r="136" spans="1:2" x14ac:dyDescent="0.35">
      <c r="A136" s="20" t="s">
        <v>537</v>
      </c>
      <c r="B136" s="149" t="s">
        <v>711</v>
      </c>
    </row>
    <row r="137" spans="1:2" x14ac:dyDescent="0.35">
      <c r="A137" s="20" t="s">
        <v>538</v>
      </c>
      <c r="B137" s="149" t="s">
        <v>711</v>
      </c>
    </row>
    <row r="138" spans="1:2" x14ac:dyDescent="0.35">
      <c r="A138" s="20" t="s">
        <v>539</v>
      </c>
      <c r="B138" s="149" t="s">
        <v>712</v>
      </c>
    </row>
    <row r="139" spans="1:2" x14ac:dyDescent="0.35">
      <c r="A139" s="20" t="s">
        <v>540</v>
      </c>
      <c r="B139" s="149" t="s">
        <v>712</v>
      </c>
    </row>
    <row r="140" spans="1:2" x14ac:dyDescent="0.35">
      <c r="A140" s="20" t="s">
        <v>541</v>
      </c>
      <c r="B140" s="149" t="s">
        <v>712</v>
      </c>
    </row>
    <row r="141" spans="1:2" x14ac:dyDescent="0.35">
      <c r="A141" s="20" t="s">
        <v>542</v>
      </c>
      <c r="B141" s="149" t="s">
        <v>712</v>
      </c>
    </row>
    <row r="142" spans="1:2" x14ac:dyDescent="0.35">
      <c r="A142" s="20" t="s">
        <v>543</v>
      </c>
      <c r="B142" s="149" t="s">
        <v>712</v>
      </c>
    </row>
    <row r="143" spans="1:2" x14ac:dyDescent="0.35">
      <c r="A143" s="20" t="s">
        <v>544</v>
      </c>
      <c r="B143" s="149" t="s">
        <v>711</v>
      </c>
    </row>
    <row r="144" spans="1:2" x14ac:dyDescent="0.35">
      <c r="A144" s="20" t="s">
        <v>545</v>
      </c>
      <c r="B144" s="149" t="s">
        <v>712</v>
      </c>
    </row>
    <row r="145" spans="1:2" x14ac:dyDescent="0.35">
      <c r="A145" s="20" t="s">
        <v>546</v>
      </c>
      <c r="B145" s="149" t="s">
        <v>712</v>
      </c>
    </row>
    <row r="146" spans="1:2" x14ac:dyDescent="0.35">
      <c r="A146" s="20" t="s">
        <v>547</v>
      </c>
      <c r="B146" s="149" t="s">
        <v>712</v>
      </c>
    </row>
    <row r="147" spans="1:2" x14ac:dyDescent="0.35">
      <c r="A147" s="20" t="s">
        <v>548</v>
      </c>
      <c r="B147" s="149" t="s">
        <v>712</v>
      </c>
    </row>
    <row r="148" spans="1:2" x14ac:dyDescent="0.35">
      <c r="A148" s="20" t="s">
        <v>549</v>
      </c>
      <c r="B148" s="149" t="s">
        <v>712</v>
      </c>
    </row>
    <row r="149" spans="1:2" x14ac:dyDescent="0.35">
      <c r="A149" s="20" t="s">
        <v>550</v>
      </c>
      <c r="B149" s="149" t="s">
        <v>712</v>
      </c>
    </row>
    <row r="150" spans="1:2" x14ac:dyDescent="0.35">
      <c r="A150" s="20" t="s">
        <v>551</v>
      </c>
      <c r="B150" s="149" t="s">
        <v>712</v>
      </c>
    </row>
    <row r="151" spans="1:2" x14ac:dyDescent="0.35">
      <c r="A151" s="20" t="s">
        <v>552</v>
      </c>
      <c r="B151" s="149" t="s">
        <v>711</v>
      </c>
    </row>
    <row r="152" spans="1:2" x14ac:dyDescent="0.35">
      <c r="A152" s="20" t="s">
        <v>553</v>
      </c>
      <c r="B152" s="149" t="s">
        <v>711</v>
      </c>
    </row>
    <row r="153" spans="1:2" x14ac:dyDescent="0.35">
      <c r="A153" s="20" t="s">
        <v>554</v>
      </c>
      <c r="B153" s="149" t="s">
        <v>712</v>
      </c>
    </row>
    <row r="154" spans="1:2" x14ac:dyDescent="0.35">
      <c r="A154" s="20" t="s">
        <v>555</v>
      </c>
      <c r="B154" s="149" t="s">
        <v>712</v>
      </c>
    </row>
    <row r="155" spans="1:2" x14ac:dyDescent="0.35">
      <c r="A155" s="20" t="s">
        <v>556</v>
      </c>
      <c r="B155" s="149" t="s">
        <v>712</v>
      </c>
    </row>
    <row r="156" spans="1:2" x14ac:dyDescent="0.35">
      <c r="A156" s="20" t="s">
        <v>557</v>
      </c>
      <c r="B156" s="149" t="s">
        <v>712</v>
      </c>
    </row>
    <row r="157" spans="1:2" x14ac:dyDescent="0.35">
      <c r="A157" s="20" t="s">
        <v>558</v>
      </c>
      <c r="B157" s="149" t="s">
        <v>712</v>
      </c>
    </row>
    <row r="158" spans="1:2" x14ac:dyDescent="0.35">
      <c r="A158" s="20" t="s">
        <v>559</v>
      </c>
      <c r="B158" s="149" t="s">
        <v>712</v>
      </c>
    </row>
    <row r="159" spans="1:2" x14ac:dyDescent="0.35">
      <c r="A159" s="20" t="s">
        <v>560</v>
      </c>
      <c r="B159" s="149" t="s">
        <v>712</v>
      </c>
    </row>
    <row r="160" spans="1:2" x14ac:dyDescent="0.35">
      <c r="A160" s="20" t="s">
        <v>561</v>
      </c>
      <c r="B160" s="149" t="s">
        <v>711</v>
      </c>
    </row>
    <row r="161" spans="1:2" x14ac:dyDescent="0.35">
      <c r="A161" s="20" t="s">
        <v>562</v>
      </c>
      <c r="B161" s="149" t="s">
        <v>711</v>
      </c>
    </row>
    <row r="162" spans="1:2" x14ac:dyDescent="0.35">
      <c r="A162" s="20" t="s">
        <v>563</v>
      </c>
      <c r="B162" s="149" t="s">
        <v>711</v>
      </c>
    </row>
    <row r="163" spans="1:2" x14ac:dyDescent="0.35">
      <c r="A163" s="20" t="s">
        <v>564</v>
      </c>
      <c r="B163" s="149" t="s">
        <v>711</v>
      </c>
    </row>
    <row r="164" spans="1:2" x14ac:dyDescent="0.35">
      <c r="A164" s="20" t="s">
        <v>565</v>
      </c>
      <c r="B164" s="149" t="s">
        <v>711</v>
      </c>
    </row>
    <row r="165" spans="1:2" x14ac:dyDescent="0.35">
      <c r="A165" s="20" t="s">
        <v>566</v>
      </c>
      <c r="B165" s="149" t="s">
        <v>711</v>
      </c>
    </row>
    <row r="166" spans="1:2" x14ac:dyDescent="0.35">
      <c r="A166" s="20" t="s">
        <v>567</v>
      </c>
      <c r="B166" s="149" t="s">
        <v>711</v>
      </c>
    </row>
    <row r="167" spans="1:2" x14ac:dyDescent="0.35">
      <c r="A167" s="20" t="s">
        <v>568</v>
      </c>
      <c r="B167" s="149" t="s">
        <v>711</v>
      </c>
    </row>
    <row r="168" spans="1:2" x14ac:dyDescent="0.35">
      <c r="A168" s="20" t="s">
        <v>569</v>
      </c>
      <c r="B168" s="149" t="s">
        <v>711</v>
      </c>
    </row>
    <row r="169" spans="1:2" x14ac:dyDescent="0.35">
      <c r="A169" s="20" t="s">
        <v>570</v>
      </c>
      <c r="B169" s="149" t="s">
        <v>711</v>
      </c>
    </row>
    <row r="170" spans="1:2" x14ac:dyDescent="0.35">
      <c r="A170" s="20" t="s">
        <v>571</v>
      </c>
      <c r="B170" s="149" t="s">
        <v>711</v>
      </c>
    </row>
    <row r="171" spans="1:2" x14ac:dyDescent="0.35">
      <c r="A171" s="20" t="s">
        <v>572</v>
      </c>
      <c r="B171" s="149" t="s">
        <v>711</v>
      </c>
    </row>
    <row r="172" spans="1:2" x14ac:dyDescent="0.35">
      <c r="A172" s="20" t="s">
        <v>573</v>
      </c>
      <c r="B172" s="149" t="s">
        <v>711</v>
      </c>
    </row>
    <row r="173" spans="1:2" x14ac:dyDescent="0.35">
      <c r="A173" s="20" t="s">
        <v>574</v>
      </c>
      <c r="B173" s="149" t="s">
        <v>711</v>
      </c>
    </row>
    <row r="174" spans="1:2" x14ac:dyDescent="0.35">
      <c r="A174" s="20" t="s">
        <v>575</v>
      </c>
      <c r="B174" s="149" t="s">
        <v>711</v>
      </c>
    </row>
    <row r="175" spans="1:2" x14ac:dyDescent="0.35">
      <c r="A175" s="20" t="s">
        <v>576</v>
      </c>
      <c r="B175" s="149" t="s">
        <v>711</v>
      </c>
    </row>
    <row r="176" spans="1:2" x14ac:dyDescent="0.35">
      <c r="A176" s="20" t="s">
        <v>577</v>
      </c>
      <c r="B176" s="149" t="s">
        <v>711</v>
      </c>
    </row>
    <row r="177" spans="1:2" x14ac:dyDescent="0.35">
      <c r="A177" s="20" t="s">
        <v>578</v>
      </c>
      <c r="B177" s="149" t="s">
        <v>712</v>
      </c>
    </row>
    <row r="178" spans="1:2" x14ac:dyDescent="0.35">
      <c r="A178" s="20" t="s">
        <v>579</v>
      </c>
      <c r="B178" s="149" t="s">
        <v>712</v>
      </c>
    </row>
    <row r="179" spans="1:2" x14ac:dyDescent="0.35">
      <c r="A179" s="20" t="s">
        <v>580</v>
      </c>
      <c r="B179" s="149" t="s">
        <v>711</v>
      </c>
    </row>
    <row r="180" spans="1:2" x14ac:dyDescent="0.35">
      <c r="A180" s="20" t="s">
        <v>581</v>
      </c>
      <c r="B180" s="149" t="s">
        <v>712</v>
      </c>
    </row>
    <row r="181" spans="1:2" x14ac:dyDescent="0.35">
      <c r="A181" s="20" t="s">
        <v>582</v>
      </c>
      <c r="B181" s="149" t="s">
        <v>712</v>
      </c>
    </row>
    <row r="182" spans="1:2" x14ac:dyDescent="0.35">
      <c r="A182" s="20" t="s">
        <v>583</v>
      </c>
      <c r="B182" s="149" t="s">
        <v>712</v>
      </c>
    </row>
    <row r="183" spans="1:2" x14ac:dyDescent="0.35">
      <c r="A183" s="20" t="s">
        <v>584</v>
      </c>
      <c r="B183" s="149" t="s">
        <v>712</v>
      </c>
    </row>
    <row r="184" spans="1:2" x14ac:dyDescent="0.35">
      <c r="A184" s="20" t="s">
        <v>585</v>
      </c>
      <c r="B184" s="149" t="s">
        <v>712</v>
      </c>
    </row>
    <row r="185" spans="1:2" x14ac:dyDescent="0.35">
      <c r="A185" s="20" t="s">
        <v>586</v>
      </c>
      <c r="B185" s="149" t="s">
        <v>712</v>
      </c>
    </row>
    <row r="186" spans="1:2" x14ac:dyDescent="0.35">
      <c r="A186" s="20" t="s">
        <v>587</v>
      </c>
      <c r="B186" s="149" t="s">
        <v>712</v>
      </c>
    </row>
    <row r="187" spans="1:2" x14ac:dyDescent="0.35">
      <c r="A187" s="20" t="s">
        <v>588</v>
      </c>
      <c r="B187" s="149" t="s">
        <v>711</v>
      </c>
    </row>
    <row r="188" spans="1:2" x14ac:dyDescent="0.35">
      <c r="A188" s="20" t="s">
        <v>589</v>
      </c>
      <c r="B188" s="149" t="s">
        <v>711</v>
      </c>
    </row>
    <row r="189" spans="1:2" x14ac:dyDescent="0.35">
      <c r="A189" s="20" t="s">
        <v>590</v>
      </c>
      <c r="B189" s="149" t="s">
        <v>711</v>
      </c>
    </row>
    <row r="190" spans="1:2" x14ac:dyDescent="0.35">
      <c r="A190" s="20" t="s">
        <v>591</v>
      </c>
      <c r="B190" s="149" t="s">
        <v>711</v>
      </c>
    </row>
    <row r="191" spans="1:2" x14ac:dyDescent="0.35">
      <c r="A191" s="20" t="s">
        <v>592</v>
      </c>
      <c r="B191" s="149" t="s">
        <v>711</v>
      </c>
    </row>
    <row r="192" spans="1:2" x14ac:dyDescent="0.35">
      <c r="A192" s="20" t="s">
        <v>593</v>
      </c>
      <c r="B192" s="149" t="s">
        <v>711</v>
      </c>
    </row>
    <row r="193" spans="1:2" x14ac:dyDescent="0.35">
      <c r="A193" s="20" t="s">
        <v>594</v>
      </c>
      <c r="B193" s="149" t="s">
        <v>711</v>
      </c>
    </row>
    <row r="194" spans="1:2" x14ac:dyDescent="0.35">
      <c r="A194" s="20" t="s">
        <v>595</v>
      </c>
      <c r="B194" s="149" t="s">
        <v>711</v>
      </c>
    </row>
    <row r="195" spans="1:2" x14ac:dyDescent="0.35">
      <c r="A195" s="20" t="s">
        <v>596</v>
      </c>
      <c r="B195" s="149" t="s">
        <v>711</v>
      </c>
    </row>
    <row r="196" spans="1:2" x14ac:dyDescent="0.35">
      <c r="A196" s="20" t="s">
        <v>597</v>
      </c>
      <c r="B196" s="149" t="s">
        <v>711</v>
      </c>
    </row>
    <row r="197" spans="1:2" x14ac:dyDescent="0.35">
      <c r="A197" s="20" t="s">
        <v>598</v>
      </c>
      <c r="B197" s="149" t="s">
        <v>711</v>
      </c>
    </row>
    <row r="198" spans="1:2" x14ac:dyDescent="0.35">
      <c r="A198" s="20" t="s">
        <v>599</v>
      </c>
      <c r="B198" s="149" t="s">
        <v>711</v>
      </c>
    </row>
    <row r="199" spans="1:2" x14ac:dyDescent="0.35">
      <c r="A199" s="20" t="s">
        <v>600</v>
      </c>
      <c r="B199" s="149" t="s">
        <v>711</v>
      </c>
    </row>
    <row r="200" spans="1:2" x14ac:dyDescent="0.35">
      <c r="A200" s="20" t="s">
        <v>601</v>
      </c>
      <c r="B200" s="149" t="s">
        <v>711</v>
      </c>
    </row>
    <row r="201" spans="1:2" x14ac:dyDescent="0.35">
      <c r="A201" s="20" t="s">
        <v>602</v>
      </c>
      <c r="B201" s="149" t="s">
        <v>711</v>
      </c>
    </row>
    <row r="202" spans="1:2" x14ac:dyDescent="0.35">
      <c r="A202" s="20" t="s">
        <v>603</v>
      </c>
      <c r="B202" s="149" t="s">
        <v>711</v>
      </c>
    </row>
    <row r="203" spans="1:2" x14ac:dyDescent="0.35">
      <c r="A203" s="20" t="s">
        <v>604</v>
      </c>
      <c r="B203" s="149" t="s">
        <v>711</v>
      </c>
    </row>
    <row r="204" spans="1:2" x14ac:dyDescent="0.35">
      <c r="A204" s="20" t="s">
        <v>605</v>
      </c>
      <c r="B204" s="149" t="s">
        <v>711</v>
      </c>
    </row>
    <row r="205" spans="1:2" x14ac:dyDescent="0.35">
      <c r="A205" s="20" t="s">
        <v>606</v>
      </c>
      <c r="B205" s="149" t="s">
        <v>711</v>
      </c>
    </row>
    <row r="206" spans="1:2" x14ac:dyDescent="0.35">
      <c r="A206" s="20" t="s">
        <v>607</v>
      </c>
      <c r="B206" s="149" t="s">
        <v>711</v>
      </c>
    </row>
    <row r="207" spans="1:2" x14ac:dyDescent="0.35">
      <c r="A207" s="20" t="s">
        <v>608</v>
      </c>
      <c r="B207" s="149" t="s">
        <v>711</v>
      </c>
    </row>
    <row r="208" spans="1:2" x14ac:dyDescent="0.35">
      <c r="A208" s="20" t="s">
        <v>609</v>
      </c>
      <c r="B208" s="149" t="s">
        <v>711</v>
      </c>
    </row>
    <row r="209" spans="1:2" x14ac:dyDescent="0.35">
      <c r="A209" s="20" t="s">
        <v>610</v>
      </c>
      <c r="B209" s="149" t="s">
        <v>711</v>
      </c>
    </row>
    <row r="210" spans="1:2" x14ac:dyDescent="0.35">
      <c r="A210" s="20" t="s">
        <v>611</v>
      </c>
      <c r="B210" s="149" t="s">
        <v>711</v>
      </c>
    </row>
    <row r="211" spans="1:2" x14ac:dyDescent="0.35">
      <c r="A211" s="20" t="s">
        <v>612</v>
      </c>
      <c r="B211" s="149" t="s">
        <v>711</v>
      </c>
    </row>
    <row r="212" spans="1:2" x14ac:dyDescent="0.35">
      <c r="A212" s="20" t="s">
        <v>613</v>
      </c>
      <c r="B212" s="149" t="s">
        <v>711</v>
      </c>
    </row>
    <row r="213" spans="1:2" x14ac:dyDescent="0.35">
      <c r="A213" s="20" t="s">
        <v>614</v>
      </c>
      <c r="B213" s="149" t="s">
        <v>711</v>
      </c>
    </row>
    <row r="214" spans="1:2" x14ac:dyDescent="0.35">
      <c r="A214" s="20" t="s">
        <v>615</v>
      </c>
      <c r="B214" s="149" t="s">
        <v>711</v>
      </c>
    </row>
    <row r="215" spans="1:2" x14ac:dyDescent="0.35">
      <c r="A215" s="20" t="s">
        <v>616</v>
      </c>
      <c r="B215" s="149" t="s">
        <v>711</v>
      </c>
    </row>
    <row r="216" spans="1:2" x14ac:dyDescent="0.35">
      <c r="A216" s="20" t="s">
        <v>617</v>
      </c>
      <c r="B216" s="149" t="s">
        <v>711</v>
      </c>
    </row>
    <row r="217" spans="1:2" x14ac:dyDescent="0.35">
      <c r="A217" s="20" t="s">
        <v>618</v>
      </c>
      <c r="B217" s="149" t="s">
        <v>711</v>
      </c>
    </row>
    <row r="218" spans="1:2" x14ac:dyDescent="0.35">
      <c r="A218" s="20" t="s">
        <v>619</v>
      </c>
      <c r="B218" s="149" t="s">
        <v>711</v>
      </c>
    </row>
    <row r="219" spans="1:2" x14ac:dyDescent="0.35">
      <c r="A219" s="20" t="s">
        <v>620</v>
      </c>
      <c r="B219" s="149" t="s">
        <v>711</v>
      </c>
    </row>
    <row r="220" spans="1:2" x14ac:dyDescent="0.35">
      <c r="A220" s="20" t="s">
        <v>621</v>
      </c>
      <c r="B220" s="149" t="s">
        <v>711</v>
      </c>
    </row>
    <row r="221" spans="1:2" x14ac:dyDescent="0.35">
      <c r="A221" s="20" t="s">
        <v>622</v>
      </c>
      <c r="B221" s="149" t="s">
        <v>711</v>
      </c>
    </row>
    <row r="222" spans="1:2" x14ac:dyDescent="0.35">
      <c r="A222" s="20" t="s">
        <v>623</v>
      </c>
      <c r="B222" s="149" t="s">
        <v>711</v>
      </c>
    </row>
    <row r="223" spans="1:2" x14ac:dyDescent="0.35">
      <c r="A223" s="20" t="s">
        <v>624</v>
      </c>
      <c r="B223" s="149" t="s">
        <v>711</v>
      </c>
    </row>
    <row r="224" spans="1:2" x14ac:dyDescent="0.35">
      <c r="A224" s="20" t="s">
        <v>625</v>
      </c>
      <c r="B224" s="149" t="s">
        <v>711</v>
      </c>
    </row>
    <row r="225" spans="1:2" x14ac:dyDescent="0.35">
      <c r="A225" s="20" t="s">
        <v>626</v>
      </c>
      <c r="B225" s="149" t="s">
        <v>711</v>
      </c>
    </row>
    <row r="226" spans="1:2" x14ac:dyDescent="0.35">
      <c r="A226" s="20" t="s">
        <v>627</v>
      </c>
      <c r="B226" s="149" t="s">
        <v>711</v>
      </c>
    </row>
    <row r="227" spans="1:2" x14ac:dyDescent="0.35">
      <c r="A227" s="20" t="s">
        <v>628</v>
      </c>
      <c r="B227" s="149" t="s">
        <v>711</v>
      </c>
    </row>
    <row r="228" spans="1:2" x14ac:dyDescent="0.35">
      <c r="A228" s="20" t="s">
        <v>629</v>
      </c>
      <c r="B228" s="149" t="s">
        <v>711</v>
      </c>
    </row>
    <row r="229" spans="1:2" x14ac:dyDescent="0.35">
      <c r="A229" s="20" t="s">
        <v>630</v>
      </c>
      <c r="B229" s="149" t="s">
        <v>711</v>
      </c>
    </row>
    <row r="230" spans="1:2" x14ac:dyDescent="0.35">
      <c r="A230" s="20" t="s">
        <v>631</v>
      </c>
      <c r="B230" s="149" t="s">
        <v>711</v>
      </c>
    </row>
    <row r="231" spans="1:2" x14ac:dyDescent="0.35">
      <c r="A231" s="20" t="s">
        <v>632</v>
      </c>
      <c r="B231" s="149" t="s">
        <v>711</v>
      </c>
    </row>
    <row r="232" spans="1:2" x14ac:dyDescent="0.35">
      <c r="A232" s="20" t="s">
        <v>633</v>
      </c>
      <c r="B232" s="149" t="s">
        <v>711</v>
      </c>
    </row>
    <row r="233" spans="1:2" x14ac:dyDescent="0.35">
      <c r="A233" s="20" t="s">
        <v>634</v>
      </c>
      <c r="B233" s="149" t="s">
        <v>711</v>
      </c>
    </row>
    <row r="234" spans="1:2" x14ac:dyDescent="0.35">
      <c r="A234" s="20" t="s">
        <v>635</v>
      </c>
      <c r="B234" s="149" t="s">
        <v>711</v>
      </c>
    </row>
    <row r="235" spans="1:2" x14ac:dyDescent="0.35">
      <c r="A235" s="20" t="s">
        <v>636</v>
      </c>
      <c r="B235" s="149" t="s">
        <v>711</v>
      </c>
    </row>
    <row r="236" spans="1:2" x14ac:dyDescent="0.35">
      <c r="A236" s="20" t="s">
        <v>637</v>
      </c>
      <c r="B236" s="149" t="s">
        <v>711</v>
      </c>
    </row>
    <row r="237" spans="1:2" x14ac:dyDescent="0.35">
      <c r="A237" s="20" t="s">
        <v>638</v>
      </c>
      <c r="B237" s="149" t="s">
        <v>711</v>
      </c>
    </row>
    <row r="238" spans="1:2" x14ac:dyDescent="0.35">
      <c r="A238" s="20" t="s">
        <v>639</v>
      </c>
      <c r="B238" s="149" t="s">
        <v>711</v>
      </c>
    </row>
    <row r="239" spans="1:2" x14ac:dyDescent="0.35">
      <c r="A239" s="20" t="s">
        <v>640</v>
      </c>
      <c r="B239" s="149" t="s">
        <v>711</v>
      </c>
    </row>
    <row r="240" spans="1:2" x14ac:dyDescent="0.35">
      <c r="A240" s="20" t="s">
        <v>641</v>
      </c>
      <c r="B240" s="149" t="s">
        <v>711</v>
      </c>
    </row>
    <row r="241" spans="1:2" x14ac:dyDescent="0.35">
      <c r="A241" s="20" t="s">
        <v>642</v>
      </c>
      <c r="B241" s="149" t="s">
        <v>711</v>
      </c>
    </row>
    <row r="242" spans="1:2" x14ac:dyDescent="0.35">
      <c r="A242" s="20" t="s">
        <v>643</v>
      </c>
      <c r="B242" s="149" t="s">
        <v>711</v>
      </c>
    </row>
    <row r="243" spans="1:2" x14ac:dyDescent="0.35">
      <c r="A243" s="20" t="s">
        <v>644</v>
      </c>
      <c r="B243" s="149" t="s">
        <v>711</v>
      </c>
    </row>
    <row r="244" spans="1:2" x14ac:dyDescent="0.35">
      <c r="A244" s="20" t="s">
        <v>645</v>
      </c>
      <c r="B244" s="149" t="s">
        <v>711</v>
      </c>
    </row>
    <row r="245" spans="1:2" x14ac:dyDescent="0.35">
      <c r="A245" s="20" t="s">
        <v>646</v>
      </c>
      <c r="B245" s="149" t="s">
        <v>711</v>
      </c>
    </row>
    <row r="246" spans="1:2" x14ac:dyDescent="0.35">
      <c r="A246" s="20" t="s">
        <v>647</v>
      </c>
      <c r="B246" s="149" t="s">
        <v>711</v>
      </c>
    </row>
    <row r="247" spans="1:2" x14ac:dyDescent="0.35">
      <c r="A247" s="20" t="s">
        <v>648</v>
      </c>
      <c r="B247" s="149" t="s">
        <v>711</v>
      </c>
    </row>
    <row r="248" spans="1:2" x14ac:dyDescent="0.35">
      <c r="A248" s="20" t="s">
        <v>649</v>
      </c>
      <c r="B248" s="149" t="s">
        <v>711</v>
      </c>
    </row>
    <row r="249" spans="1:2" x14ac:dyDescent="0.35">
      <c r="A249" s="20" t="s">
        <v>650</v>
      </c>
      <c r="B249" s="149" t="s">
        <v>711</v>
      </c>
    </row>
    <row r="250" spans="1:2" x14ac:dyDescent="0.35">
      <c r="A250" s="20" t="s">
        <v>651</v>
      </c>
      <c r="B250" s="149" t="s">
        <v>711</v>
      </c>
    </row>
    <row r="251" spans="1:2" x14ac:dyDescent="0.35">
      <c r="A251" s="20" t="s">
        <v>652</v>
      </c>
      <c r="B251" s="149" t="s">
        <v>711</v>
      </c>
    </row>
    <row r="252" spans="1:2" x14ac:dyDescent="0.35">
      <c r="A252" s="20" t="s">
        <v>653</v>
      </c>
      <c r="B252" s="149" t="s">
        <v>711</v>
      </c>
    </row>
    <row r="253" spans="1:2" x14ac:dyDescent="0.35">
      <c r="A253" s="20" t="s">
        <v>654</v>
      </c>
      <c r="B253" s="149" t="s">
        <v>711</v>
      </c>
    </row>
    <row r="254" spans="1:2" x14ac:dyDescent="0.35">
      <c r="A254" s="20" t="s">
        <v>655</v>
      </c>
      <c r="B254" s="149" t="s">
        <v>711</v>
      </c>
    </row>
    <row r="255" spans="1:2" x14ac:dyDescent="0.35">
      <c r="A255" s="20" t="s">
        <v>656</v>
      </c>
      <c r="B255" s="149" t="s">
        <v>711</v>
      </c>
    </row>
    <row r="256" spans="1:2" x14ac:dyDescent="0.35">
      <c r="A256" s="20" t="s">
        <v>657</v>
      </c>
      <c r="B256" s="149" t="s">
        <v>711</v>
      </c>
    </row>
    <row r="257" spans="1:2" x14ac:dyDescent="0.35">
      <c r="A257" s="20" t="s">
        <v>658</v>
      </c>
      <c r="B257" s="149" t="s">
        <v>711</v>
      </c>
    </row>
    <row r="258" spans="1:2" x14ac:dyDescent="0.35">
      <c r="A258" s="20" t="s">
        <v>659</v>
      </c>
      <c r="B258" s="149" t="s">
        <v>711</v>
      </c>
    </row>
    <row r="259" spans="1:2" x14ac:dyDescent="0.35">
      <c r="A259" s="20" t="s">
        <v>660</v>
      </c>
      <c r="B259" s="149" t="s">
        <v>711</v>
      </c>
    </row>
    <row r="260" spans="1:2" x14ac:dyDescent="0.35">
      <c r="A260" s="20" t="s">
        <v>661</v>
      </c>
      <c r="B260" s="149" t="s">
        <v>711</v>
      </c>
    </row>
    <row r="261" spans="1:2" x14ac:dyDescent="0.35">
      <c r="A261" s="20" t="s">
        <v>662</v>
      </c>
      <c r="B261" s="149" t="s">
        <v>711</v>
      </c>
    </row>
    <row r="262" spans="1:2" x14ac:dyDescent="0.35">
      <c r="A262" s="20" t="s">
        <v>663</v>
      </c>
      <c r="B262" s="149" t="s">
        <v>711</v>
      </c>
    </row>
    <row r="263" spans="1:2" x14ac:dyDescent="0.35">
      <c r="A263" s="20" t="s">
        <v>664</v>
      </c>
      <c r="B263" s="149" t="s">
        <v>711</v>
      </c>
    </row>
    <row r="264" spans="1:2" x14ac:dyDescent="0.35">
      <c r="A264" s="20" t="s">
        <v>665</v>
      </c>
      <c r="B264" s="149" t="s">
        <v>711</v>
      </c>
    </row>
    <row r="265" spans="1:2" x14ac:dyDescent="0.35">
      <c r="A265" s="20" t="s">
        <v>666</v>
      </c>
      <c r="B265" s="149" t="s">
        <v>711</v>
      </c>
    </row>
    <row r="266" spans="1:2" x14ac:dyDescent="0.35">
      <c r="A266" s="20" t="s">
        <v>667</v>
      </c>
      <c r="B266" s="149" t="s">
        <v>711</v>
      </c>
    </row>
    <row r="267" spans="1:2" x14ac:dyDescent="0.35">
      <c r="A267" s="20" t="s">
        <v>668</v>
      </c>
      <c r="B267" s="149" t="s">
        <v>711</v>
      </c>
    </row>
    <row r="268" spans="1:2" x14ac:dyDescent="0.35">
      <c r="A268" s="20" t="s">
        <v>669</v>
      </c>
      <c r="B268" s="149" t="s">
        <v>711</v>
      </c>
    </row>
    <row r="269" spans="1:2" x14ac:dyDescent="0.35">
      <c r="A269" s="20" t="s">
        <v>670</v>
      </c>
      <c r="B269" s="149" t="s">
        <v>711</v>
      </c>
    </row>
    <row r="270" spans="1:2" x14ac:dyDescent="0.35">
      <c r="A270" s="20" t="s">
        <v>671</v>
      </c>
      <c r="B270" s="149" t="s">
        <v>711</v>
      </c>
    </row>
    <row r="271" spans="1:2" x14ac:dyDescent="0.35">
      <c r="A271" s="20" t="s">
        <v>672</v>
      </c>
      <c r="B271" s="149" t="s">
        <v>711</v>
      </c>
    </row>
    <row r="272" spans="1:2" x14ac:dyDescent="0.35">
      <c r="A272" s="20" t="s">
        <v>673</v>
      </c>
      <c r="B272" s="149" t="s">
        <v>711</v>
      </c>
    </row>
    <row r="273" spans="1:2" x14ac:dyDescent="0.35">
      <c r="A273" s="20" t="s">
        <v>674</v>
      </c>
      <c r="B273" s="149" t="s">
        <v>712</v>
      </c>
    </row>
    <row r="274" spans="1:2" x14ac:dyDescent="0.35">
      <c r="A274" s="20" t="s">
        <v>675</v>
      </c>
      <c r="B274" s="149" t="s">
        <v>711</v>
      </c>
    </row>
    <row r="275" spans="1:2" x14ac:dyDescent="0.35">
      <c r="A275" s="20" t="s">
        <v>676</v>
      </c>
      <c r="B275" s="149" t="s">
        <v>711</v>
      </c>
    </row>
    <row r="276" spans="1:2" x14ac:dyDescent="0.35">
      <c r="A276" s="20" t="s">
        <v>677</v>
      </c>
      <c r="B276" s="149" t="s">
        <v>711</v>
      </c>
    </row>
    <row r="277" spans="1:2" x14ac:dyDescent="0.35">
      <c r="A277" s="20" t="s">
        <v>678</v>
      </c>
      <c r="B277" s="149" t="s">
        <v>712</v>
      </c>
    </row>
    <row r="278" spans="1:2" x14ac:dyDescent="0.35">
      <c r="A278" s="20" t="s">
        <v>679</v>
      </c>
      <c r="B278" s="149" t="s">
        <v>712</v>
      </c>
    </row>
    <row r="279" spans="1:2" x14ac:dyDescent="0.35">
      <c r="A279" s="20" t="s">
        <v>680</v>
      </c>
      <c r="B279" s="149" t="s">
        <v>711</v>
      </c>
    </row>
    <row r="280" spans="1:2" x14ac:dyDescent="0.35">
      <c r="A280" s="20" t="s">
        <v>681</v>
      </c>
      <c r="B280" s="149" t="s">
        <v>711</v>
      </c>
    </row>
    <row r="281" spans="1:2" x14ac:dyDescent="0.35">
      <c r="A281" s="20" t="s">
        <v>682</v>
      </c>
      <c r="B281" s="149" t="s">
        <v>711</v>
      </c>
    </row>
    <row r="282" spans="1:2" x14ac:dyDescent="0.35">
      <c r="A282" s="20" t="s">
        <v>683</v>
      </c>
      <c r="B282" s="149" t="s">
        <v>711</v>
      </c>
    </row>
    <row r="283" spans="1:2" x14ac:dyDescent="0.35">
      <c r="A283" s="20" t="s">
        <v>684</v>
      </c>
      <c r="B283" s="149" t="s">
        <v>711</v>
      </c>
    </row>
    <row r="284" spans="1:2" x14ac:dyDescent="0.35">
      <c r="A284" s="20" t="s">
        <v>685</v>
      </c>
      <c r="B284" s="149" t="s">
        <v>711</v>
      </c>
    </row>
    <row r="285" spans="1:2" x14ac:dyDescent="0.35">
      <c r="A285" s="20" t="s">
        <v>686</v>
      </c>
      <c r="B285" s="149" t="s">
        <v>711</v>
      </c>
    </row>
    <row r="286" spans="1:2" x14ac:dyDescent="0.35">
      <c r="A286" s="20" t="s">
        <v>687</v>
      </c>
      <c r="B286" s="149" t="s">
        <v>712</v>
      </c>
    </row>
    <row r="287" spans="1:2" x14ac:dyDescent="0.35">
      <c r="A287" s="20" t="s">
        <v>688</v>
      </c>
      <c r="B287" s="149" t="s">
        <v>711</v>
      </c>
    </row>
    <row r="288" spans="1:2" x14ac:dyDescent="0.35">
      <c r="A288" s="20" t="s">
        <v>689</v>
      </c>
      <c r="B288" s="149" t="s">
        <v>712</v>
      </c>
    </row>
    <row r="289" spans="1:2" x14ac:dyDescent="0.35">
      <c r="A289" s="20" t="s">
        <v>690</v>
      </c>
      <c r="B289" s="149" t="s">
        <v>712</v>
      </c>
    </row>
    <row r="290" spans="1:2" x14ac:dyDescent="0.35">
      <c r="A290" s="20" t="s">
        <v>691</v>
      </c>
      <c r="B290" s="149" t="s">
        <v>712</v>
      </c>
    </row>
    <row r="291" spans="1:2" x14ac:dyDescent="0.35">
      <c r="A291" s="20" t="s">
        <v>692</v>
      </c>
      <c r="B291" s="149" t="s">
        <v>711</v>
      </c>
    </row>
    <row r="292" spans="1:2" x14ac:dyDescent="0.35">
      <c r="A292" s="20" t="s">
        <v>693</v>
      </c>
      <c r="B292" s="149" t="s">
        <v>711</v>
      </c>
    </row>
    <row r="293" spans="1:2" x14ac:dyDescent="0.35">
      <c r="A293" s="20" t="s">
        <v>694</v>
      </c>
      <c r="B293" s="149" t="s">
        <v>712</v>
      </c>
    </row>
    <row r="294" spans="1:2" x14ac:dyDescent="0.35">
      <c r="A294" s="20" t="s">
        <v>695</v>
      </c>
      <c r="B294" s="149" t="s">
        <v>712</v>
      </c>
    </row>
    <row r="295" spans="1:2" x14ac:dyDescent="0.35">
      <c r="A295" s="20" t="s">
        <v>696</v>
      </c>
      <c r="B295" s="149" t="s">
        <v>711</v>
      </c>
    </row>
    <row r="296" spans="1:2" x14ac:dyDescent="0.35">
      <c r="A296" s="20" t="s">
        <v>697</v>
      </c>
      <c r="B296" s="149" t="s">
        <v>712</v>
      </c>
    </row>
    <row r="297" spans="1:2" x14ac:dyDescent="0.35">
      <c r="A297" s="20" t="s">
        <v>698</v>
      </c>
      <c r="B297" s="149" t="s">
        <v>712</v>
      </c>
    </row>
    <row r="298" spans="1:2" x14ac:dyDescent="0.35">
      <c r="A298" s="61"/>
    </row>
  </sheetData>
  <autoFilter ref="A1:A263" xr:uid="{7BE849A2-0E2F-42DD-8F9C-965CEADE8E1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5CB3F-23AC-49D3-A1BD-68993CC0D460}">
  <dimension ref="A1:B14"/>
  <sheetViews>
    <sheetView workbookViewId="0">
      <selection activeCell="J33" sqref="J33"/>
    </sheetView>
  </sheetViews>
  <sheetFormatPr baseColWidth="10" defaultRowHeight="14.5" x14ac:dyDescent="0.35"/>
  <sheetData>
    <row r="1" spans="1:2" x14ac:dyDescent="0.35">
      <c r="A1" s="8" t="s">
        <v>6</v>
      </c>
      <c r="B1" s="8" t="s">
        <v>7</v>
      </c>
    </row>
    <row r="2" spans="1:2" x14ac:dyDescent="0.35">
      <c r="A2" s="6" t="s">
        <v>10</v>
      </c>
      <c r="B2" s="6" t="s">
        <v>11</v>
      </c>
    </row>
    <row r="3" spans="1:2" x14ac:dyDescent="0.35">
      <c r="A3" s="6" t="s">
        <v>9</v>
      </c>
      <c r="B3" s="6" t="s">
        <v>12</v>
      </c>
    </row>
    <row r="4" spans="1:2" x14ac:dyDescent="0.35">
      <c r="A4" s="6" t="s">
        <v>13</v>
      </c>
      <c r="B4" s="6" t="s">
        <v>14</v>
      </c>
    </row>
    <row r="5" spans="1:2" x14ac:dyDescent="0.35">
      <c r="A5" s="6" t="s">
        <v>16</v>
      </c>
      <c r="B5" s="6" t="s">
        <v>17</v>
      </c>
    </row>
    <row r="6" spans="1:2" x14ac:dyDescent="0.35">
      <c r="A6" s="6" t="s">
        <v>14</v>
      </c>
      <c r="B6" s="6" t="s">
        <v>18</v>
      </c>
    </row>
    <row r="7" spans="1:2" x14ac:dyDescent="0.35">
      <c r="A7" s="6" t="s">
        <v>19</v>
      </c>
      <c r="B7" s="6" t="s">
        <v>20</v>
      </c>
    </row>
    <row r="8" spans="1:2" x14ac:dyDescent="0.35">
      <c r="A8" s="6" t="s">
        <v>21</v>
      </c>
      <c r="B8" s="6" t="s">
        <v>22</v>
      </c>
    </row>
    <row r="9" spans="1:2" x14ac:dyDescent="0.35">
      <c r="A9" s="6" t="s">
        <v>23</v>
      </c>
      <c r="B9" s="6" t="s">
        <v>24</v>
      </c>
    </row>
    <row r="10" spans="1:2" x14ac:dyDescent="0.35">
      <c r="A10" s="6" t="s">
        <v>25</v>
      </c>
      <c r="B10" s="1"/>
    </row>
    <row r="11" spans="1:2" x14ac:dyDescent="0.35">
      <c r="A11" s="6" t="s">
        <v>26</v>
      </c>
      <c r="B11" s="1"/>
    </row>
    <row r="12" spans="1:2" x14ac:dyDescent="0.35">
      <c r="A12" s="6" t="s">
        <v>27</v>
      </c>
      <c r="B12" s="1"/>
    </row>
    <row r="13" spans="1:2" x14ac:dyDescent="0.35">
      <c r="A13" s="6" t="s">
        <v>28</v>
      </c>
      <c r="B13" s="1"/>
    </row>
    <row r="14" spans="1:2" x14ac:dyDescent="0.35">
      <c r="A14" s="6" t="s">
        <v>24</v>
      </c>
      <c r="B14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D21EA-F748-47DC-A7AA-DCAB8E58F548}">
  <dimension ref="A1:B5"/>
  <sheetViews>
    <sheetView zoomScaleNormal="100" workbookViewId="0">
      <selection activeCell="F24" sqref="F24"/>
    </sheetView>
  </sheetViews>
  <sheetFormatPr baseColWidth="10" defaultRowHeight="14.5" x14ac:dyDescent="0.35"/>
  <cols>
    <col min="1" max="1" width="20.81640625" style="145" bestFit="1" customWidth="1"/>
    <col min="2" max="2" width="42.6328125" customWidth="1"/>
  </cols>
  <sheetData>
    <row r="1" spans="1:2" x14ac:dyDescent="0.35">
      <c r="A1" s="146" t="s">
        <v>731</v>
      </c>
      <c r="B1" s="146" t="s">
        <v>736</v>
      </c>
    </row>
    <row r="2" spans="1:2" x14ac:dyDescent="0.35">
      <c r="A2" s="146" t="s">
        <v>732</v>
      </c>
      <c r="B2" s="146" t="s">
        <v>739</v>
      </c>
    </row>
    <row r="3" spans="1:2" x14ac:dyDescent="0.35">
      <c r="A3" s="146" t="s">
        <v>733</v>
      </c>
      <c r="B3" s="146" t="s">
        <v>740</v>
      </c>
    </row>
    <row r="4" spans="1:2" x14ac:dyDescent="0.35">
      <c r="A4" s="146" t="s">
        <v>734</v>
      </c>
      <c r="B4" s="146" t="s">
        <v>737</v>
      </c>
    </row>
    <row r="5" spans="1:2" x14ac:dyDescent="0.35">
      <c r="A5" s="146" t="s">
        <v>735</v>
      </c>
      <c r="B5" s="146" t="s">
        <v>738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9638-57B0-4883-BA92-516A20390C58}">
  <dimension ref="A1:B19"/>
  <sheetViews>
    <sheetView workbookViewId="0">
      <selection activeCell="D16" sqref="D16"/>
    </sheetView>
  </sheetViews>
  <sheetFormatPr baseColWidth="10" defaultRowHeight="14.5" x14ac:dyDescent="0.35"/>
  <cols>
    <col min="1" max="1" width="27.81640625" customWidth="1"/>
  </cols>
  <sheetData>
    <row r="1" spans="1:2" ht="26" x14ac:dyDescent="0.35">
      <c r="A1" s="97" t="s">
        <v>311</v>
      </c>
      <c r="B1" s="97" t="s">
        <v>312</v>
      </c>
    </row>
    <row r="2" spans="1:2" x14ac:dyDescent="0.35">
      <c r="A2" s="96" t="s">
        <v>313</v>
      </c>
      <c r="B2" s="96" t="s">
        <v>314</v>
      </c>
    </row>
    <row r="3" spans="1:2" x14ac:dyDescent="0.35">
      <c r="A3" s="96" t="s">
        <v>317</v>
      </c>
      <c r="B3" s="96" t="s">
        <v>318</v>
      </c>
    </row>
    <row r="4" spans="1:2" x14ac:dyDescent="0.35">
      <c r="A4" s="96" t="s">
        <v>320</v>
      </c>
      <c r="B4" s="96" t="s">
        <v>321</v>
      </c>
    </row>
    <row r="5" spans="1:2" x14ac:dyDescent="0.35">
      <c r="A5" s="96" t="s">
        <v>323</v>
      </c>
      <c r="B5" s="96" t="s">
        <v>324</v>
      </c>
    </row>
    <row r="6" spans="1:2" x14ac:dyDescent="0.35">
      <c r="A6" s="96" t="s">
        <v>326</v>
      </c>
      <c r="B6" s="96" t="s">
        <v>327</v>
      </c>
    </row>
    <row r="7" spans="1:2" x14ac:dyDescent="0.35">
      <c r="A7" s="96" t="s">
        <v>329</v>
      </c>
      <c r="B7" s="96" t="s">
        <v>330</v>
      </c>
    </row>
    <row r="8" spans="1:2" x14ac:dyDescent="0.35">
      <c r="A8" s="96" t="s">
        <v>332</v>
      </c>
      <c r="B8" s="96" t="s">
        <v>333</v>
      </c>
    </row>
    <row r="9" spans="1:2" x14ac:dyDescent="0.35">
      <c r="A9" s="96" t="s">
        <v>335</v>
      </c>
      <c r="B9" s="96" t="s">
        <v>336</v>
      </c>
    </row>
    <row r="10" spans="1:2" x14ac:dyDescent="0.35">
      <c r="A10" s="96" t="s">
        <v>338</v>
      </c>
      <c r="B10" s="96" t="s">
        <v>339</v>
      </c>
    </row>
    <row r="11" spans="1:2" x14ac:dyDescent="0.35">
      <c r="A11" s="96" t="s">
        <v>341</v>
      </c>
      <c r="B11" s="96" t="s">
        <v>342</v>
      </c>
    </row>
    <row r="12" spans="1:2" x14ac:dyDescent="0.35">
      <c r="A12" s="96" t="s">
        <v>344</v>
      </c>
      <c r="B12" s="96" t="s">
        <v>345</v>
      </c>
    </row>
    <row r="13" spans="1:2" x14ac:dyDescent="0.35">
      <c r="A13" s="96" t="s">
        <v>347</v>
      </c>
      <c r="B13" s="96" t="s">
        <v>348</v>
      </c>
    </row>
    <row r="14" spans="1:2" x14ac:dyDescent="0.35">
      <c r="A14" s="96" t="s">
        <v>350</v>
      </c>
      <c r="B14" s="96" t="s">
        <v>351</v>
      </c>
    </row>
    <row r="15" spans="1:2" x14ac:dyDescent="0.35">
      <c r="A15" s="96" t="s">
        <v>353</v>
      </c>
      <c r="B15" s="96" t="s">
        <v>354</v>
      </c>
    </row>
    <row r="16" spans="1:2" x14ac:dyDescent="0.35">
      <c r="A16" s="96" t="s">
        <v>356</v>
      </c>
      <c r="B16" s="96" t="s">
        <v>333</v>
      </c>
    </row>
    <row r="17" spans="1:2" x14ac:dyDescent="0.35">
      <c r="A17" s="96" t="s">
        <v>357</v>
      </c>
      <c r="B17" s="96" t="s">
        <v>358</v>
      </c>
    </row>
    <row r="18" spans="1:2" x14ac:dyDescent="0.35">
      <c r="A18" s="96" t="s">
        <v>360</v>
      </c>
      <c r="B18" s="96" t="s">
        <v>361</v>
      </c>
    </row>
    <row r="19" spans="1:2" x14ac:dyDescent="0.35">
      <c r="A19" s="96" t="s">
        <v>363</v>
      </c>
      <c r="B19" s="96" t="s">
        <v>364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7344D-DFC4-47EB-A241-A9E629EB1642}">
  <dimension ref="A1:A11"/>
  <sheetViews>
    <sheetView workbookViewId="0">
      <selection activeCell="B24" sqref="B24"/>
    </sheetView>
  </sheetViews>
  <sheetFormatPr baseColWidth="10" defaultRowHeight="14.5" x14ac:dyDescent="0.35"/>
  <cols>
    <col min="1" max="1" width="31.6328125" bestFit="1" customWidth="1"/>
  </cols>
  <sheetData>
    <row r="1" spans="1:1" x14ac:dyDescent="0.35">
      <c r="A1" s="95" t="s">
        <v>727</v>
      </c>
    </row>
    <row r="2" spans="1:1" x14ac:dyDescent="0.35">
      <c r="A2" s="94" t="s">
        <v>292</v>
      </c>
    </row>
    <row r="3" spans="1:1" x14ac:dyDescent="0.35">
      <c r="A3" s="94" t="s">
        <v>293</v>
      </c>
    </row>
    <row r="4" spans="1:1" x14ac:dyDescent="0.35">
      <c r="A4" s="94" t="s">
        <v>294</v>
      </c>
    </row>
    <row r="5" spans="1:1" x14ac:dyDescent="0.35">
      <c r="A5" s="94" t="s">
        <v>295</v>
      </c>
    </row>
    <row r="6" spans="1:1" x14ac:dyDescent="0.35">
      <c r="A6" s="94" t="s">
        <v>296</v>
      </c>
    </row>
    <row r="7" spans="1:1" x14ac:dyDescent="0.35">
      <c r="A7" s="94" t="s">
        <v>299</v>
      </c>
    </row>
    <row r="8" spans="1:1" x14ac:dyDescent="0.35">
      <c r="A8" s="94" t="s">
        <v>300</v>
      </c>
    </row>
    <row r="9" spans="1:1" x14ac:dyDescent="0.35">
      <c r="A9" s="94" t="s">
        <v>297</v>
      </c>
    </row>
    <row r="10" spans="1:1" x14ac:dyDescent="0.35">
      <c r="A10" s="94" t="s">
        <v>298</v>
      </c>
    </row>
    <row r="11" spans="1:1" x14ac:dyDescent="0.35">
      <c r="A11" s="94" t="s">
        <v>301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715AE-7BA0-4DB5-874A-65DA6C46D00F}">
  <dimension ref="A1:D8"/>
  <sheetViews>
    <sheetView workbookViewId="0">
      <selection activeCell="K24" sqref="K24"/>
    </sheetView>
  </sheetViews>
  <sheetFormatPr baseColWidth="10" defaultColWidth="9.1796875" defaultRowHeight="14.5" x14ac:dyDescent="0.35"/>
  <cols>
    <col min="2" max="2" width="5.1796875" bestFit="1" customWidth="1"/>
    <col min="3" max="3" width="27.26953125" bestFit="1" customWidth="1"/>
    <col min="4" max="4" width="7.7265625" bestFit="1" customWidth="1"/>
  </cols>
  <sheetData>
    <row r="1" spans="1:4" ht="12.75" customHeight="1" x14ac:dyDescent="0.35">
      <c r="A1" s="147"/>
      <c r="B1" s="147" t="s">
        <v>741</v>
      </c>
      <c r="C1" s="147" t="s">
        <v>250</v>
      </c>
      <c r="D1" s="147" t="s">
        <v>742</v>
      </c>
    </row>
    <row r="2" spans="1:4" x14ac:dyDescent="0.35">
      <c r="A2" s="147"/>
      <c r="B2" s="147"/>
      <c r="C2" s="147"/>
      <c r="D2" s="147"/>
    </row>
    <row r="3" spans="1:4" x14ac:dyDescent="0.35">
      <c r="A3" s="56"/>
      <c r="B3" s="55" t="s">
        <v>743</v>
      </c>
      <c r="C3" s="55" t="s">
        <v>744</v>
      </c>
      <c r="D3" s="148" t="s">
        <v>745</v>
      </c>
    </row>
    <row r="4" spans="1:4" x14ac:dyDescent="0.35">
      <c r="A4" s="56"/>
      <c r="B4" s="55" t="s">
        <v>258</v>
      </c>
      <c r="C4" s="55" t="s">
        <v>746</v>
      </c>
      <c r="D4" s="148" t="s">
        <v>745</v>
      </c>
    </row>
    <row r="5" spans="1:4" x14ac:dyDescent="0.35">
      <c r="A5" s="56"/>
      <c r="B5" s="55" t="s">
        <v>260</v>
      </c>
      <c r="C5" s="55" t="s">
        <v>747</v>
      </c>
      <c r="D5" s="148" t="s">
        <v>745</v>
      </c>
    </row>
    <row r="6" spans="1:4" x14ac:dyDescent="0.35">
      <c r="A6" s="56"/>
      <c r="B6" s="55" t="s">
        <v>748</v>
      </c>
      <c r="C6" s="55" t="s">
        <v>749</v>
      </c>
      <c r="D6" s="148" t="s">
        <v>745</v>
      </c>
    </row>
    <row r="7" spans="1:4" x14ac:dyDescent="0.35">
      <c r="A7" s="56"/>
      <c r="B7" s="55" t="s">
        <v>750</v>
      </c>
      <c r="C7" s="55" t="s">
        <v>751</v>
      </c>
      <c r="D7" s="148" t="s">
        <v>745</v>
      </c>
    </row>
    <row r="8" spans="1:4" x14ac:dyDescent="0.35">
      <c r="A8" s="56"/>
      <c r="B8" s="55" t="s">
        <v>752</v>
      </c>
      <c r="C8" s="55" t="s">
        <v>753</v>
      </c>
      <c r="D8" s="148" t="s">
        <v>745</v>
      </c>
    </row>
  </sheetData>
  <mergeCells count="4">
    <mergeCell ref="A1:A2"/>
    <mergeCell ref="B1:B2"/>
    <mergeCell ref="C1:C2"/>
    <mergeCell ref="D1:D2"/>
  </mergeCells>
  <pageMargins left="0.75" right="0.75" top="1" bottom="1" header="0.5" footer="0.5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93E36-BC56-4ACF-9A4E-A8747F8C9115}">
  <dimension ref="A1:D6"/>
  <sheetViews>
    <sheetView workbookViewId="0">
      <selection activeCell="H25" sqref="H25"/>
    </sheetView>
  </sheetViews>
  <sheetFormatPr baseColWidth="10" defaultRowHeight="14.5" x14ac:dyDescent="0.35"/>
  <cols>
    <col min="3" max="3" width="37.1796875" customWidth="1"/>
  </cols>
  <sheetData>
    <row r="1" spans="1:4" x14ac:dyDescent="0.35">
      <c r="A1" s="147"/>
      <c r="B1" s="147" t="s">
        <v>741</v>
      </c>
      <c r="C1" s="147" t="s">
        <v>250</v>
      </c>
      <c r="D1" s="147" t="s">
        <v>742</v>
      </c>
    </row>
    <row r="2" spans="1:4" x14ac:dyDescent="0.35">
      <c r="A2" s="147"/>
      <c r="B2" s="147"/>
      <c r="C2" s="147"/>
      <c r="D2" s="147"/>
    </row>
    <row r="3" spans="1:4" x14ac:dyDescent="0.35">
      <c r="A3" s="56"/>
      <c r="B3" s="55" t="s">
        <v>743</v>
      </c>
      <c r="C3" s="55" t="s">
        <v>744</v>
      </c>
      <c r="D3" s="148" t="s">
        <v>745</v>
      </c>
    </row>
    <row r="4" spans="1:4" x14ac:dyDescent="0.35">
      <c r="A4" s="56"/>
      <c r="B4" s="55" t="s">
        <v>256</v>
      </c>
      <c r="C4" s="55" t="s">
        <v>754</v>
      </c>
      <c r="D4" s="148" t="s">
        <v>745</v>
      </c>
    </row>
    <row r="5" spans="1:4" x14ac:dyDescent="0.35">
      <c r="A5" s="56"/>
      <c r="B5" s="55" t="s">
        <v>262</v>
      </c>
      <c r="C5" s="55" t="s">
        <v>755</v>
      </c>
      <c r="D5" s="148" t="s">
        <v>745</v>
      </c>
    </row>
    <row r="6" spans="1:4" x14ac:dyDescent="0.35">
      <c r="A6" s="56"/>
      <c r="B6" s="55" t="s">
        <v>756</v>
      </c>
      <c r="C6" s="55" t="s">
        <v>757</v>
      </c>
      <c r="D6" s="148" t="s">
        <v>745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24104-8859-4943-9E39-AA172723CD4C}">
  <dimension ref="B1:D108"/>
  <sheetViews>
    <sheetView topLeftCell="A73" workbookViewId="0">
      <selection activeCell="E41" sqref="E41"/>
    </sheetView>
  </sheetViews>
  <sheetFormatPr baseColWidth="10" defaultRowHeight="14.5" x14ac:dyDescent="0.35"/>
  <cols>
    <col min="2" max="2" width="45.7265625" customWidth="1"/>
    <col min="3" max="3" width="60.1796875" customWidth="1"/>
  </cols>
  <sheetData>
    <row r="1" spans="2:4" x14ac:dyDescent="0.35">
      <c r="B1" s="147" t="s">
        <v>741</v>
      </c>
      <c r="C1" s="147" t="s">
        <v>250</v>
      </c>
      <c r="D1" s="147" t="s">
        <v>742</v>
      </c>
    </row>
    <row r="2" spans="2:4" x14ac:dyDescent="0.35">
      <c r="B2" s="147"/>
      <c r="C2" s="147"/>
      <c r="D2" s="147"/>
    </row>
    <row r="3" spans="2:4" x14ac:dyDescent="0.35">
      <c r="B3" s="55" t="s">
        <v>758</v>
      </c>
      <c r="C3" s="55" t="s">
        <v>758</v>
      </c>
      <c r="D3" s="148" t="s">
        <v>745</v>
      </c>
    </row>
    <row r="4" spans="2:4" x14ac:dyDescent="0.35">
      <c r="B4" s="55" t="s">
        <v>759</v>
      </c>
      <c r="C4" s="55" t="s">
        <v>759</v>
      </c>
      <c r="D4" s="148" t="s">
        <v>745</v>
      </c>
    </row>
    <row r="5" spans="2:4" x14ac:dyDescent="0.35">
      <c r="B5" s="55" t="s">
        <v>760</v>
      </c>
      <c r="C5" s="55" t="s">
        <v>760</v>
      </c>
      <c r="D5" s="148" t="s">
        <v>745</v>
      </c>
    </row>
    <row r="6" spans="2:4" x14ac:dyDescent="0.35">
      <c r="B6" s="55" t="s">
        <v>761</v>
      </c>
      <c r="C6" s="55" t="s">
        <v>761</v>
      </c>
      <c r="D6" s="148" t="s">
        <v>745</v>
      </c>
    </row>
    <row r="7" spans="2:4" x14ac:dyDescent="0.35">
      <c r="B7" s="55" t="s">
        <v>762</v>
      </c>
      <c r="C7" s="55" t="s">
        <v>762</v>
      </c>
      <c r="D7" s="148" t="s">
        <v>745</v>
      </c>
    </row>
    <row r="8" spans="2:4" x14ac:dyDescent="0.35">
      <c r="B8" s="55" t="s">
        <v>763</v>
      </c>
      <c r="C8" s="55" t="s">
        <v>763</v>
      </c>
      <c r="D8" s="148" t="s">
        <v>745</v>
      </c>
    </row>
    <row r="9" spans="2:4" x14ac:dyDescent="0.35">
      <c r="B9" s="55" t="s">
        <v>764</v>
      </c>
      <c r="C9" s="55" t="s">
        <v>764</v>
      </c>
      <c r="D9" s="148" t="s">
        <v>745</v>
      </c>
    </row>
    <row r="10" spans="2:4" x14ac:dyDescent="0.35">
      <c r="B10" s="55" t="s">
        <v>765</v>
      </c>
      <c r="C10" s="55" t="s">
        <v>765</v>
      </c>
      <c r="D10" s="148" t="s">
        <v>745</v>
      </c>
    </row>
    <row r="11" spans="2:4" x14ac:dyDescent="0.35">
      <c r="B11" s="55" t="s">
        <v>766</v>
      </c>
      <c r="C11" s="55" t="s">
        <v>766</v>
      </c>
      <c r="D11" s="148" t="s">
        <v>745</v>
      </c>
    </row>
    <row r="12" spans="2:4" x14ac:dyDescent="0.35">
      <c r="B12" s="55" t="s">
        <v>767</v>
      </c>
      <c r="C12" s="55" t="s">
        <v>767</v>
      </c>
      <c r="D12" s="148" t="s">
        <v>745</v>
      </c>
    </row>
    <row r="13" spans="2:4" x14ac:dyDescent="0.35">
      <c r="B13" s="55" t="s">
        <v>768</v>
      </c>
      <c r="C13" s="55" t="s">
        <v>768</v>
      </c>
      <c r="D13" s="148" t="s">
        <v>745</v>
      </c>
    </row>
    <row r="14" spans="2:4" x14ac:dyDescent="0.35">
      <c r="B14" s="55" t="s">
        <v>769</v>
      </c>
      <c r="C14" s="55" t="s">
        <v>769</v>
      </c>
      <c r="D14" s="148" t="s">
        <v>745</v>
      </c>
    </row>
    <row r="15" spans="2:4" x14ac:dyDescent="0.35">
      <c r="B15" s="55" t="s">
        <v>770</v>
      </c>
      <c r="C15" s="55" t="s">
        <v>770</v>
      </c>
      <c r="D15" s="148" t="s">
        <v>745</v>
      </c>
    </row>
    <row r="16" spans="2:4" x14ac:dyDescent="0.35">
      <c r="B16" s="55" t="s">
        <v>771</v>
      </c>
      <c r="C16" s="55" t="s">
        <v>771</v>
      </c>
      <c r="D16" s="148" t="s">
        <v>745</v>
      </c>
    </row>
    <row r="17" spans="2:4" x14ac:dyDescent="0.35">
      <c r="B17" s="55" t="s">
        <v>772</v>
      </c>
      <c r="C17" s="55" t="s">
        <v>772</v>
      </c>
      <c r="D17" s="148" t="s">
        <v>745</v>
      </c>
    </row>
    <row r="18" spans="2:4" x14ac:dyDescent="0.35">
      <c r="B18" s="55" t="s">
        <v>773</v>
      </c>
      <c r="C18" s="55" t="s">
        <v>773</v>
      </c>
      <c r="D18" s="148" t="s">
        <v>745</v>
      </c>
    </row>
    <row r="19" spans="2:4" x14ac:dyDescent="0.35">
      <c r="B19" s="55" t="s">
        <v>774</v>
      </c>
      <c r="C19" s="55" t="s">
        <v>774</v>
      </c>
      <c r="D19" s="148" t="s">
        <v>745</v>
      </c>
    </row>
    <row r="20" spans="2:4" x14ac:dyDescent="0.35">
      <c r="B20" s="55" t="s">
        <v>775</v>
      </c>
      <c r="C20" s="55" t="s">
        <v>775</v>
      </c>
      <c r="D20" s="148" t="s">
        <v>745</v>
      </c>
    </row>
    <row r="21" spans="2:4" x14ac:dyDescent="0.35">
      <c r="B21" s="55" t="s">
        <v>776</v>
      </c>
      <c r="C21" s="55" t="s">
        <v>776</v>
      </c>
      <c r="D21" s="148" t="s">
        <v>745</v>
      </c>
    </row>
    <row r="22" spans="2:4" x14ac:dyDescent="0.35">
      <c r="B22" s="55" t="s">
        <v>777</v>
      </c>
      <c r="C22" s="55" t="s">
        <v>777</v>
      </c>
      <c r="D22" s="148" t="s">
        <v>745</v>
      </c>
    </row>
    <row r="23" spans="2:4" x14ac:dyDescent="0.35">
      <c r="B23" s="55" t="s">
        <v>778</v>
      </c>
      <c r="C23" s="55" t="s">
        <v>778</v>
      </c>
      <c r="D23" s="148" t="s">
        <v>745</v>
      </c>
    </row>
    <row r="24" spans="2:4" x14ac:dyDescent="0.35">
      <c r="B24" s="55" t="s">
        <v>779</v>
      </c>
      <c r="C24" s="55" t="s">
        <v>779</v>
      </c>
      <c r="D24" s="148" t="s">
        <v>745</v>
      </c>
    </row>
    <row r="25" spans="2:4" x14ac:dyDescent="0.35">
      <c r="B25" s="55" t="s">
        <v>780</v>
      </c>
      <c r="C25" s="55" t="s">
        <v>780</v>
      </c>
      <c r="D25" s="148" t="s">
        <v>745</v>
      </c>
    </row>
    <row r="26" spans="2:4" x14ac:dyDescent="0.35">
      <c r="B26" s="55" t="s">
        <v>781</v>
      </c>
      <c r="C26" s="55" t="s">
        <v>781</v>
      </c>
      <c r="D26" s="148" t="s">
        <v>745</v>
      </c>
    </row>
    <row r="27" spans="2:4" x14ac:dyDescent="0.35">
      <c r="B27" s="55" t="s">
        <v>782</v>
      </c>
      <c r="C27" s="55" t="s">
        <v>782</v>
      </c>
      <c r="D27" s="148" t="s">
        <v>745</v>
      </c>
    </row>
    <row r="28" spans="2:4" x14ac:dyDescent="0.35">
      <c r="B28" s="55" t="s">
        <v>783</v>
      </c>
      <c r="C28" s="55" t="s">
        <v>783</v>
      </c>
      <c r="D28" s="148" t="s">
        <v>745</v>
      </c>
    </row>
    <row r="29" spans="2:4" x14ac:dyDescent="0.35">
      <c r="B29" s="55" t="s">
        <v>784</v>
      </c>
      <c r="C29" s="55" t="s">
        <v>784</v>
      </c>
      <c r="D29" s="148" t="s">
        <v>745</v>
      </c>
    </row>
    <row r="30" spans="2:4" x14ac:dyDescent="0.35">
      <c r="B30" s="55" t="s">
        <v>785</v>
      </c>
      <c r="C30" s="55" t="s">
        <v>785</v>
      </c>
      <c r="D30" s="148" t="s">
        <v>745</v>
      </c>
    </row>
    <row r="31" spans="2:4" x14ac:dyDescent="0.35">
      <c r="B31" s="55" t="s">
        <v>786</v>
      </c>
      <c r="C31" s="55" t="s">
        <v>786</v>
      </c>
      <c r="D31" s="148" t="s">
        <v>745</v>
      </c>
    </row>
    <row r="32" spans="2:4" x14ac:dyDescent="0.35">
      <c r="B32" s="55" t="s">
        <v>787</v>
      </c>
      <c r="C32" s="55" t="s">
        <v>787</v>
      </c>
      <c r="D32" s="148" t="s">
        <v>745</v>
      </c>
    </row>
    <row r="33" spans="2:4" x14ac:dyDescent="0.35">
      <c r="B33" s="55" t="s">
        <v>788</v>
      </c>
      <c r="C33" s="55" t="s">
        <v>788</v>
      </c>
      <c r="D33" s="148" t="s">
        <v>745</v>
      </c>
    </row>
    <row r="34" spans="2:4" x14ac:dyDescent="0.35">
      <c r="B34" s="55" t="s">
        <v>789</v>
      </c>
      <c r="C34" s="55" t="s">
        <v>789</v>
      </c>
      <c r="D34" s="148" t="s">
        <v>745</v>
      </c>
    </row>
    <row r="35" spans="2:4" x14ac:dyDescent="0.35">
      <c r="B35" s="55" t="s">
        <v>790</v>
      </c>
      <c r="C35" s="55" t="s">
        <v>790</v>
      </c>
      <c r="D35" s="148" t="s">
        <v>745</v>
      </c>
    </row>
    <row r="36" spans="2:4" x14ac:dyDescent="0.35">
      <c r="B36" s="55" t="s">
        <v>791</v>
      </c>
      <c r="C36" s="55" t="s">
        <v>791</v>
      </c>
      <c r="D36" s="148" t="s">
        <v>745</v>
      </c>
    </row>
    <row r="37" spans="2:4" x14ac:dyDescent="0.35">
      <c r="B37" s="55" t="s">
        <v>792</v>
      </c>
      <c r="C37" s="55" t="s">
        <v>792</v>
      </c>
      <c r="D37" s="148" t="s">
        <v>745</v>
      </c>
    </row>
    <row r="38" spans="2:4" x14ac:dyDescent="0.35">
      <c r="B38" s="55" t="s">
        <v>793</v>
      </c>
      <c r="C38" s="55" t="s">
        <v>793</v>
      </c>
      <c r="D38" s="148" t="s">
        <v>745</v>
      </c>
    </row>
    <row r="39" spans="2:4" x14ac:dyDescent="0.35">
      <c r="B39" s="55" t="s">
        <v>794</v>
      </c>
      <c r="C39" s="55" t="s">
        <v>794</v>
      </c>
      <c r="D39" s="148" t="s">
        <v>745</v>
      </c>
    </row>
    <row r="40" spans="2:4" x14ac:dyDescent="0.35">
      <c r="B40" s="55" t="s">
        <v>795</v>
      </c>
      <c r="C40" s="55" t="s">
        <v>795</v>
      </c>
      <c r="D40" s="148" t="s">
        <v>745</v>
      </c>
    </row>
    <row r="41" spans="2:4" x14ac:dyDescent="0.35">
      <c r="B41" s="55" t="s">
        <v>796</v>
      </c>
      <c r="C41" s="55" t="s">
        <v>796</v>
      </c>
      <c r="D41" s="148" t="s">
        <v>745</v>
      </c>
    </row>
    <row r="42" spans="2:4" x14ac:dyDescent="0.35">
      <c r="B42" s="55" t="s">
        <v>797</v>
      </c>
      <c r="C42" s="55" t="s">
        <v>797</v>
      </c>
      <c r="D42" s="148" t="s">
        <v>745</v>
      </c>
    </row>
    <row r="43" spans="2:4" x14ac:dyDescent="0.35">
      <c r="B43" s="55" t="s">
        <v>798</v>
      </c>
      <c r="C43" s="55" t="s">
        <v>798</v>
      </c>
      <c r="D43" s="148" t="s">
        <v>745</v>
      </c>
    </row>
    <row r="44" spans="2:4" x14ac:dyDescent="0.35">
      <c r="B44" s="55" t="s">
        <v>799</v>
      </c>
      <c r="C44" s="55" t="s">
        <v>799</v>
      </c>
      <c r="D44" s="148" t="s">
        <v>745</v>
      </c>
    </row>
    <row r="45" spans="2:4" x14ac:dyDescent="0.35">
      <c r="B45" s="55" t="s">
        <v>800</v>
      </c>
      <c r="C45" s="55" t="s">
        <v>800</v>
      </c>
      <c r="D45" s="148" t="s">
        <v>745</v>
      </c>
    </row>
    <row r="46" spans="2:4" x14ac:dyDescent="0.35">
      <c r="B46" s="55" t="s">
        <v>801</v>
      </c>
      <c r="C46" s="55" t="s">
        <v>801</v>
      </c>
      <c r="D46" s="148" t="s">
        <v>745</v>
      </c>
    </row>
    <row r="47" spans="2:4" x14ac:dyDescent="0.35">
      <c r="B47" s="55" t="s">
        <v>802</v>
      </c>
      <c r="C47" s="55" t="s">
        <v>802</v>
      </c>
      <c r="D47" s="148" t="s">
        <v>745</v>
      </c>
    </row>
    <row r="48" spans="2:4" x14ac:dyDescent="0.35">
      <c r="B48" s="55" t="s">
        <v>803</v>
      </c>
      <c r="C48" s="55" t="s">
        <v>803</v>
      </c>
      <c r="D48" s="148" t="s">
        <v>745</v>
      </c>
    </row>
    <row r="49" spans="2:4" x14ac:dyDescent="0.35">
      <c r="B49" s="55" t="s">
        <v>804</v>
      </c>
      <c r="C49" s="55" t="s">
        <v>804</v>
      </c>
      <c r="D49" s="148" t="s">
        <v>745</v>
      </c>
    </row>
    <row r="50" spans="2:4" x14ac:dyDescent="0.35">
      <c r="B50" s="55" t="s">
        <v>805</v>
      </c>
      <c r="C50" s="55" t="s">
        <v>805</v>
      </c>
      <c r="D50" s="148" t="s">
        <v>745</v>
      </c>
    </row>
    <row r="51" spans="2:4" x14ac:dyDescent="0.35">
      <c r="B51" s="55" t="s">
        <v>806</v>
      </c>
      <c r="C51" s="55" t="s">
        <v>806</v>
      </c>
      <c r="D51" s="148" t="s">
        <v>745</v>
      </c>
    </row>
    <row r="52" spans="2:4" x14ac:dyDescent="0.35">
      <c r="B52" s="55" t="s">
        <v>807</v>
      </c>
      <c r="C52" s="55" t="s">
        <v>807</v>
      </c>
      <c r="D52" s="148" t="s">
        <v>745</v>
      </c>
    </row>
    <row r="53" spans="2:4" x14ac:dyDescent="0.35">
      <c r="B53" s="55" t="s">
        <v>808</v>
      </c>
      <c r="C53" s="55" t="s">
        <v>808</v>
      </c>
      <c r="D53" s="148" t="s">
        <v>745</v>
      </c>
    </row>
    <row r="54" spans="2:4" x14ac:dyDescent="0.35">
      <c r="B54" s="55" t="s">
        <v>809</v>
      </c>
      <c r="C54" s="55" t="s">
        <v>809</v>
      </c>
      <c r="D54" s="148" t="s">
        <v>745</v>
      </c>
    </row>
    <row r="55" spans="2:4" x14ac:dyDescent="0.35">
      <c r="B55" s="55" t="s">
        <v>810</v>
      </c>
      <c r="C55" s="55" t="s">
        <v>810</v>
      </c>
      <c r="D55" s="148" t="s">
        <v>745</v>
      </c>
    </row>
    <row r="56" spans="2:4" x14ac:dyDescent="0.35">
      <c r="B56" s="55" t="s">
        <v>811</v>
      </c>
      <c r="C56" s="55" t="s">
        <v>811</v>
      </c>
      <c r="D56" s="148" t="s">
        <v>745</v>
      </c>
    </row>
    <row r="57" spans="2:4" x14ac:dyDescent="0.35">
      <c r="B57" s="55" t="s">
        <v>812</v>
      </c>
      <c r="C57" s="55" t="s">
        <v>812</v>
      </c>
      <c r="D57" s="148" t="s">
        <v>745</v>
      </c>
    </row>
    <row r="58" spans="2:4" x14ac:dyDescent="0.35">
      <c r="B58" s="55" t="s">
        <v>813</v>
      </c>
      <c r="C58" s="55" t="s">
        <v>813</v>
      </c>
      <c r="D58" s="148" t="s">
        <v>745</v>
      </c>
    </row>
    <row r="59" spans="2:4" x14ac:dyDescent="0.35">
      <c r="B59" s="55" t="s">
        <v>814</v>
      </c>
      <c r="C59" s="55" t="s">
        <v>814</v>
      </c>
      <c r="D59" s="148" t="s">
        <v>745</v>
      </c>
    </row>
    <row r="60" spans="2:4" x14ac:dyDescent="0.35">
      <c r="B60" s="55" t="s">
        <v>815</v>
      </c>
      <c r="C60" s="55" t="s">
        <v>815</v>
      </c>
      <c r="D60" s="148" t="s">
        <v>745</v>
      </c>
    </row>
    <row r="61" spans="2:4" x14ac:dyDescent="0.35">
      <c r="B61" s="55" t="s">
        <v>816</v>
      </c>
      <c r="C61" s="55" t="s">
        <v>816</v>
      </c>
      <c r="D61" s="148" t="s">
        <v>745</v>
      </c>
    </row>
    <row r="62" spans="2:4" x14ac:dyDescent="0.35">
      <c r="B62" s="55" t="s">
        <v>817</v>
      </c>
      <c r="C62" s="55" t="s">
        <v>817</v>
      </c>
      <c r="D62" s="148" t="s">
        <v>745</v>
      </c>
    </row>
    <row r="63" spans="2:4" x14ac:dyDescent="0.35">
      <c r="B63" s="55" t="s">
        <v>818</v>
      </c>
      <c r="C63" s="55" t="s">
        <v>818</v>
      </c>
      <c r="D63" s="148" t="s">
        <v>745</v>
      </c>
    </row>
    <row r="64" spans="2:4" x14ac:dyDescent="0.35">
      <c r="B64" s="55" t="s">
        <v>819</v>
      </c>
      <c r="C64" s="55" t="s">
        <v>819</v>
      </c>
      <c r="D64" s="148" t="s">
        <v>745</v>
      </c>
    </row>
    <row r="65" spans="2:4" x14ac:dyDescent="0.35">
      <c r="B65" s="55" t="s">
        <v>820</v>
      </c>
      <c r="C65" s="55" t="s">
        <v>820</v>
      </c>
      <c r="D65" s="148" t="s">
        <v>745</v>
      </c>
    </row>
    <row r="66" spans="2:4" x14ac:dyDescent="0.35">
      <c r="B66" s="55" t="s">
        <v>821</v>
      </c>
      <c r="C66" s="55" t="s">
        <v>821</v>
      </c>
      <c r="D66" s="148" t="s">
        <v>745</v>
      </c>
    </row>
    <row r="67" spans="2:4" x14ac:dyDescent="0.35">
      <c r="B67" s="55" t="s">
        <v>822</v>
      </c>
      <c r="C67" s="55" t="s">
        <v>822</v>
      </c>
      <c r="D67" s="148" t="s">
        <v>745</v>
      </c>
    </row>
    <row r="68" spans="2:4" x14ac:dyDescent="0.35">
      <c r="B68" s="55" t="s">
        <v>461</v>
      </c>
      <c r="C68" s="55" t="s">
        <v>461</v>
      </c>
      <c r="D68" s="148" t="s">
        <v>745</v>
      </c>
    </row>
    <row r="69" spans="2:4" x14ac:dyDescent="0.35">
      <c r="B69" s="55" t="s">
        <v>823</v>
      </c>
      <c r="C69" s="55" t="s">
        <v>823</v>
      </c>
      <c r="D69" s="148" t="s">
        <v>745</v>
      </c>
    </row>
    <row r="70" spans="2:4" x14ac:dyDescent="0.35">
      <c r="B70" s="55" t="s">
        <v>824</v>
      </c>
      <c r="C70" s="55" t="s">
        <v>824</v>
      </c>
      <c r="D70" s="148" t="s">
        <v>745</v>
      </c>
    </row>
    <row r="71" spans="2:4" x14ac:dyDescent="0.35">
      <c r="B71" s="55" t="s">
        <v>825</v>
      </c>
      <c r="C71" s="55" t="s">
        <v>825</v>
      </c>
      <c r="D71" s="148" t="s">
        <v>745</v>
      </c>
    </row>
    <row r="72" spans="2:4" x14ac:dyDescent="0.35">
      <c r="B72" s="55" t="s">
        <v>826</v>
      </c>
      <c r="C72" s="55" t="s">
        <v>826</v>
      </c>
      <c r="D72" s="148" t="s">
        <v>745</v>
      </c>
    </row>
    <row r="73" spans="2:4" x14ac:dyDescent="0.35">
      <c r="B73" s="55" t="s">
        <v>827</v>
      </c>
      <c r="C73" s="55" t="s">
        <v>827</v>
      </c>
      <c r="D73" s="148" t="s">
        <v>745</v>
      </c>
    </row>
    <row r="74" spans="2:4" x14ac:dyDescent="0.35">
      <c r="B74" s="55" t="s">
        <v>828</v>
      </c>
      <c r="C74" s="55" t="s">
        <v>828</v>
      </c>
      <c r="D74" s="148" t="s">
        <v>745</v>
      </c>
    </row>
    <row r="75" spans="2:4" x14ac:dyDescent="0.35">
      <c r="B75" s="55" t="s">
        <v>829</v>
      </c>
      <c r="C75" s="55" t="s">
        <v>829</v>
      </c>
      <c r="D75" s="148" t="s">
        <v>745</v>
      </c>
    </row>
    <row r="76" spans="2:4" x14ac:dyDescent="0.35">
      <c r="B76" s="55" t="s">
        <v>830</v>
      </c>
      <c r="C76" s="55" t="s">
        <v>830</v>
      </c>
      <c r="D76" s="148" t="s">
        <v>745</v>
      </c>
    </row>
    <row r="77" spans="2:4" x14ac:dyDescent="0.35">
      <c r="B77" s="55" t="s">
        <v>831</v>
      </c>
      <c r="C77" s="55" t="s">
        <v>831</v>
      </c>
      <c r="D77" s="148" t="s">
        <v>745</v>
      </c>
    </row>
    <row r="78" spans="2:4" x14ac:dyDescent="0.35">
      <c r="B78" s="55" t="s">
        <v>832</v>
      </c>
      <c r="C78" s="55" t="s">
        <v>832</v>
      </c>
      <c r="D78" s="148" t="s">
        <v>745</v>
      </c>
    </row>
    <row r="79" spans="2:4" x14ac:dyDescent="0.35">
      <c r="B79" s="55" t="s">
        <v>833</v>
      </c>
      <c r="C79" s="55" t="s">
        <v>833</v>
      </c>
      <c r="D79" s="148" t="s">
        <v>745</v>
      </c>
    </row>
    <row r="80" spans="2:4" x14ac:dyDescent="0.35">
      <c r="B80" s="55" t="s">
        <v>834</v>
      </c>
      <c r="C80" s="55" t="s">
        <v>834</v>
      </c>
      <c r="D80" s="148" t="s">
        <v>745</v>
      </c>
    </row>
    <row r="81" spans="2:4" x14ac:dyDescent="0.35">
      <c r="B81" s="55" t="s">
        <v>835</v>
      </c>
      <c r="C81" s="55" t="s">
        <v>835</v>
      </c>
      <c r="D81" s="148" t="s">
        <v>745</v>
      </c>
    </row>
    <row r="82" spans="2:4" x14ac:dyDescent="0.35">
      <c r="B82" s="55" t="s">
        <v>836</v>
      </c>
      <c r="C82" s="55" t="s">
        <v>836</v>
      </c>
      <c r="D82" s="148" t="s">
        <v>745</v>
      </c>
    </row>
    <row r="83" spans="2:4" x14ac:dyDescent="0.35">
      <c r="B83" s="55" t="s">
        <v>837</v>
      </c>
      <c r="C83" s="55" t="s">
        <v>837</v>
      </c>
      <c r="D83" s="148" t="s">
        <v>745</v>
      </c>
    </row>
    <row r="84" spans="2:4" x14ac:dyDescent="0.35">
      <c r="B84" s="55" t="s">
        <v>838</v>
      </c>
      <c r="C84" s="55" t="s">
        <v>838</v>
      </c>
      <c r="D84" s="148" t="s">
        <v>745</v>
      </c>
    </row>
    <row r="85" spans="2:4" x14ac:dyDescent="0.35">
      <c r="B85" s="55" t="s">
        <v>839</v>
      </c>
      <c r="C85" s="55" t="s">
        <v>839</v>
      </c>
      <c r="D85" s="148" t="s">
        <v>745</v>
      </c>
    </row>
    <row r="86" spans="2:4" x14ac:dyDescent="0.35">
      <c r="B86" s="55" t="s">
        <v>840</v>
      </c>
      <c r="C86" s="55" t="s">
        <v>840</v>
      </c>
      <c r="D86" s="148" t="s">
        <v>745</v>
      </c>
    </row>
    <row r="87" spans="2:4" x14ac:dyDescent="0.35">
      <c r="B87" s="55" t="s">
        <v>841</v>
      </c>
      <c r="C87" s="55" t="s">
        <v>841</v>
      </c>
      <c r="D87" s="148" t="s">
        <v>745</v>
      </c>
    </row>
    <row r="88" spans="2:4" x14ac:dyDescent="0.35">
      <c r="B88" s="55" t="s">
        <v>842</v>
      </c>
      <c r="C88" s="55" t="s">
        <v>842</v>
      </c>
      <c r="D88" s="148" t="s">
        <v>745</v>
      </c>
    </row>
    <row r="89" spans="2:4" x14ac:dyDescent="0.35">
      <c r="B89" s="55" t="s">
        <v>843</v>
      </c>
      <c r="C89" s="55" t="s">
        <v>843</v>
      </c>
      <c r="D89" s="148" t="s">
        <v>745</v>
      </c>
    </row>
    <row r="90" spans="2:4" x14ac:dyDescent="0.35">
      <c r="B90" s="55" t="s">
        <v>844</v>
      </c>
      <c r="C90" s="55" t="s">
        <v>844</v>
      </c>
      <c r="D90" s="148" t="s">
        <v>745</v>
      </c>
    </row>
    <row r="91" spans="2:4" x14ac:dyDescent="0.35">
      <c r="B91" s="55" t="s">
        <v>845</v>
      </c>
      <c r="C91" s="55" t="s">
        <v>845</v>
      </c>
      <c r="D91" s="148" t="s">
        <v>745</v>
      </c>
    </row>
    <row r="92" spans="2:4" x14ac:dyDescent="0.35">
      <c r="B92" s="55" t="s">
        <v>846</v>
      </c>
      <c r="C92" s="55" t="s">
        <v>846</v>
      </c>
      <c r="D92" s="148" t="s">
        <v>745</v>
      </c>
    </row>
    <row r="93" spans="2:4" x14ac:dyDescent="0.35">
      <c r="B93" s="55" t="s">
        <v>847</v>
      </c>
      <c r="C93" s="55" t="s">
        <v>847</v>
      </c>
      <c r="D93" s="148" t="s">
        <v>745</v>
      </c>
    </row>
    <row r="94" spans="2:4" x14ac:dyDescent="0.35">
      <c r="B94" s="55" t="s">
        <v>848</v>
      </c>
      <c r="C94" s="55" t="s">
        <v>848</v>
      </c>
      <c r="D94" s="148" t="s">
        <v>745</v>
      </c>
    </row>
    <row r="95" spans="2:4" x14ac:dyDescent="0.35">
      <c r="B95" s="55" t="s">
        <v>849</v>
      </c>
      <c r="C95" s="55" t="s">
        <v>849</v>
      </c>
      <c r="D95" s="148" t="s">
        <v>745</v>
      </c>
    </row>
    <row r="96" spans="2:4" x14ac:dyDescent="0.35">
      <c r="B96" s="55" t="s">
        <v>850</v>
      </c>
      <c r="C96" s="55" t="s">
        <v>850</v>
      </c>
      <c r="D96" s="148" t="s">
        <v>745</v>
      </c>
    </row>
    <row r="97" spans="2:4" x14ac:dyDescent="0.35">
      <c r="B97" s="55" t="s">
        <v>851</v>
      </c>
      <c r="C97" s="55" t="s">
        <v>851</v>
      </c>
      <c r="D97" s="148" t="s">
        <v>745</v>
      </c>
    </row>
    <row r="98" spans="2:4" x14ac:dyDescent="0.35">
      <c r="B98" s="55" t="s">
        <v>852</v>
      </c>
      <c r="C98" s="55" t="s">
        <v>852</v>
      </c>
      <c r="D98" s="148" t="s">
        <v>745</v>
      </c>
    </row>
    <row r="99" spans="2:4" x14ac:dyDescent="0.35">
      <c r="B99" s="55" t="s">
        <v>853</v>
      </c>
      <c r="C99" s="55" t="s">
        <v>853</v>
      </c>
      <c r="D99" s="148" t="s">
        <v>745</v>
      </c>
    </row>
    <row r="100" spans="2:4" x14ac:dyDescent="0.35">
      <c r="B100" s="55" t="s">
        <v>854</v>
      </c>
      <c r="C100" s="55" t="s">
        <v>854</v>
      </c>
      <c r="D100" s="148" t="s">
        <v>745</v>
      </c>
    </row>
    <row r="101" spans="2:4" x14ac:dyDescent="0.35">
      <c r="B101" s="55" t="s">
        <v>855</v>
      </c>
      <c r="C101" s="55" t="s">
        <v>855</v>
      </c>
      <c r="D101" s="148" t="s">
        <v>745</v>
      </c>
    </row>
    <row r="102" spans="2:4" x14ac:dyDescent="0.35">
      <c r="B102" s="55" t="s">
        <v>856</v>
      </c>
      <c r="C102" s="55" t="s">
        <v>856</v>
      </c>
      <c r="D102" s="148" t="s">
        <v>745</v>
      </c>
    </row>
    <row r="103" spans="2:4" x14ac:dyDescent="0.35">
      <c r="B103" s="55" t="s">
        <v>857</v>
      </c>
      <c r="C103" s="55" t="s">
        <v>857</v>
      </c>
      <c r="D103" s="148" t="s">
        <v>745</v>
      </c>
    </row>
    <row r="104" spans="2:4" x14ac:dyDescent="0.35">
      <c r="B104" s="55" t="s">
        <v>858</v>
      </c>
      <c r="C104" s="55" t="s">
        <v>858</v>
      </c>
      <c r="D104" s="148" t="s">
        <v>745</v>
      </c>
    </row>
    <row r="105" spans="2:4" x14ac:dyDescent="0.35">
      <c r="B105" s="55" t="s">
        <v>859</v>
      </c>
      <c r="C105" s="55" t="s">
        <v>859</v>
      </c>
      <c r="D105" s="148" t="s">
        <v>745</v>
      </c>
    </row>
    <row r="106" spans="2:4" x14ac:dyDescent="0.35">
      <c r="B106" s="55" t="s">
        <v>860</v>
      </c>
      <c r="C106" s="55" t="s">
        <v>860</v>
      </c>
      <c r="D106" s="148" t="s">
        <v>745</v>
      </c>
    </row>
    <row r="107" spans="2:4" x14ac:dyDescent="0.35">
      <c r="B107" s="55" t="s">
        <v>861</v>
      </c>
      <c r="C107" s="55" t="s">
        <v>861</v>
      </c>
      <c r="D107" s="148" t="s">
        <v>745</v>
      </c>
    </row>
    <row r="108" spans="2:4" x14ac:dyDescent="0.35">
      <c r="B108" s="55" t="s">
        <v>862</v>
      </c>
      <c r="C108" s="55" t="s">
        <v>862</v>
      </c>
      <c r="D108" s="148" t="s">
        <v>745</v>
      </c>
    </row>
  </sheetData>
  <mergeCells count="3">
    <mergeCell ref="B1:B2"/>
    <mergeCell ref="C1:C2"/>
    <mergeCell ref="D1:D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EF6F2-1F52-4A76-8F33-7B87725FC745}">
  <dimension ref="B2:E31"/>
  <sheetViews>
    <sheetView workbookViewId="0">
      <selection activeCell="D36" sqref="D36"/>
    </sheetView>
  </sheetViews>
  <sheetFormatPr baseColWidth="10" defaultRowHeight="14.5" x14ac:dyDescent="0.35"/>
  <cols>
    <col min="2" max="3" width="24.81640625" bestFit="1" customWidth="1"/>
    <col min="4" max="4" width="39.26953125" customWidth="1"/>
    <col min="5" max="5" width="7.7265625" bestFit="1" customWidth="1"/>
  </cols>
  <sheetData>
    <row r="2" spans="2:5" x14ac:dyDescent="0.35">
      <c r="B2" s="147" t="s">
        <v>741</v>
      </c>
      <c r="C2" s="147" t="s">
        <v>250</v>
      </c>
      <c r="D2" s="147" t="s">
        <v>863</v>
      </c>
      <c r="E2" s="147" t="s">
        <v>742</v>
      </c>
    </row>
    <row r="3" spans="2:5" x14ac:dyDescent="0.35">
      <c r="B3" s="147"/>
      <c r="C3" s="147"/>
      <c r="D3" s="147"/>
      <c r="E3" s="147"/>
    </row>
    <row r="4" spans="2:5" x14ac:dyDescent="0.35">
      <c r="B4" s="55" t="s">
        <v>802</v>
      </c>
      <c r="C4" s="55" t="s">
        <v>802</v>
      </c>
      <c r="D4" s="55" t="s">
        <v>461</v>
      </c>
      <c r="E4" s="148" t="s">
        <v>745</v>
      </c>
    </row>
    <row r="5" spans="2:5" x14ac:dyDescent="0.35">
      <c r="B5" s="55" t="s">
        <v>802</v>
      </c>
      <c r="C5" s="55" t="s">
        <v>802</v>
      </c>
      <c r="D5" s="55" t="s">
        <v>802</v>
      </c>
      <c r="E5" s="148" t="s">
        <v>745</v>
      </c>
    </row>
    <row r="6" spans="2:5" x14ac:dyDescent="0.35">
      <c r="B6" s="55" t="s">
        <v>864</v>
      </c>
      <c r="C6" s="55" t="s">
        <v>864</v>
      </c>
      <c r="D6" s="55" t="s">
        <v>814</v>
      </c>
      <c r="E6" s="148" t="s">
        <v>745</v>
      </c>
    </row>
    <row r="7" spans="2:5" x14ac:dyDescent="0.35">
      <c r="B7" s="55" t="s">
        <v>817</v>
      </c>
      <c r="C7" s="55" t="s">
        <v>817</v>
      </c>
      <c r="D7" s="55" t="s">
        <v>817</v>
      </c>
      <c r="E7" s="148" t="s">
        <v>745</v>
      </c>
    </row>
    <row r="8" spans="2:5" x14ac:dyDescent="0.35">
      <c r="B8" s="55" t="s">
        <v>822</v>
      </c>
      <c r="C8" s="55" t="s">
        <v>822</v>
      </c>
      <c r="D8" s="55" t="s">
        <v>761</v>
      </c>
      <c r="E8" s="148" t="s">
        <v>745</v>
      </c>
    </row>
    <row r="9" spans="2:5" x14ac:dyDescent="0.35">
      <c r="B9" s="55" t="s">
        <v>822</v>
      </c>
      <c r="C9" s="55" t="s">
        <v>822</v>
      </c>
      <c r="D9" s="55" t="s">
        <v>835</v>
      </c>
      <c r="E9" s="148" t="s">
        <v>745</v>
      </c>
    </row>
    <row r="10" spans="2:5" x14ac:dyDescent="0.35">
      <c r="B10" s="55" t="s">
        <v>822</v>
      </c>
      <c r="C10" s="55" t="s">
        <v>822</v>
      </c>
      <c r="D10" s="55" t="s">
        <v>833</v>
      </c>
      <c r="E10" s="148" t="s">
        <v>745</v>
      </c>
    </row>
    <row r="11" spans="2:5" x14ac:dyDescent="0.35">
      <c r="B11" s="55" t="s">
        <v>822</v>
      </c>
      <c r="C11" s="55" t="s">
        <v>822</v>
      </c>
      <c r="D11" s="55" t="s">
        <v>860</v>
      </c>
      <c r="E11" s="148" t="s">
        <v>745</v>
      </c>
    </row>
    <row r="12" spans="2:5" x14ac:dyDescent="0.35">
      <c r="B12" s="55" t="s">
        <v>832</v>
      </c>
      <c r="C12" s="55" t="s">
        <v>832</v>
      </c>
      <c r="D12" s="55" t="s">
        <v>832</v>
      </c>
      <c r="E12" s="148" t="s">
        <v>745</v>
      </c>
    </row>
    <row r="13" spans="2:5" x14ac:dyDescent="0.35">
      <c r="B13" s="55" t="s">
        <v>865</v>
      </c>
      <c r="C13" s="55" t="s">
        <v>865</v>
      </c>
      <c r="D13" s="55" t="s">
        <v>811</v>
      </c>
      <c r="E13" s="148" t="s">
        <v>745</v>
      </c>
    </row>
    <row r="14" spans="2:5" x14ac:dyDescent="0.35">
      <c r="B14" s="55" t="s">
        <v>865</v>
      </c>
      <c r="C14" s="55" t="s">
        <v>865</v>
      </c>
      <c r="D14" s="55" t="s">
        <v>808</v>
      </c>
      <c r="E14" s="148" t="s">
        <v>745</v>
      </c>
    </row>
    <row r="15" spans="2:5" x14ac:dyDescent="0.35">
      <c r="B15" s="55" t="s">
        <v>866</v>
      </c>
      <c r="C15" s="55" t="s">
        <v>866</v>
      </c>
      <c r="D15" s="55" t="s">
        <v>795</v>
      </c>
      <c r="E15" s="148" t="s">
        <v>745</v>
      </c>
    </row>
    <row r="16" spans="2:5" x14ac:dyDescent="0.35">
      <c r="B16" s="55" t="s">
        <v>866</v>
      </c>
      <c r="C16" s="55" t="s">
        <v>866</v>
      </c>
      <c r="D16" s="55" t="s">
        <v>828</v>
      </c>
      <c r="E16" s="148" t="s">
        <v>745</v>
      </c>
    </row>
    <row r="17" spans="2:5" x14ac:dyDescent="0.35">
      <c r="B17" s="55" t="s">
        <v>866</v>
      </c>
      <c r="C17" s="55" t="s">
        <v>866</v>
      </c>
      <c r="D17" s="55" t="s">
        <v>812</v>
      </c>
      <c r="E17" s="148" t="s">
        <v>745</v>
      </c>
    </row>
    <row r="18" spans="2:5" x14ac:dyDescent="0.35">
      <c r="B18" s="55" t="s">
        <v>866</v>
      </c>
      <c r="C18" s="55" t="s">
        <v>866</v>
      </c>
      <c r="D18" s="55" t="s">
        <v>799</v>
      </c>
      <c r="E18" s="148" t="s">
        <v>745</v>
      </c>
    </row>
    <row r="19" spans="2:5" x14ac:dyDescent="0.35">
      <c r="B19" s="55" t="s">
        <v>866</v>
      </c>
      <c r="C19" s="55" t="s">
        <v>866</v>
      </c>
      <c r="D19" s="55" t="s">
        <v>827</v>
      </c>
      <c r="E19" s="148" t="s">
        <v>745</v>
      </c>
    </row>
    <row r="20" spans="2:5" x14ac:dyDescent="0.35">
      <c r="B20" s="55" t="s">
        <v>866</v>
      </c>
      <c r="C20" s="55" t="s">
        <v>866</v>
      </c>
      <c r="D20" s="55" t="s">
        <v>826</v>
      </c>
      <c r="E20" s="148" t="s">
        <v>745</v>
      </c>
    </row>
    <row r="21" spans="2:5" x14ac:dyDescent="0.35">
      <c r="B21" s="55" t="s">
        <v>866</v>
      </c>
      <c r="C21" s="55" t="s">
        <v>866</v>
      </c>
      <c r="D21" s="55" t="s">
        <v>842</v>
      </c>
      <c r="E21" s="148" t="s">
        <v>745</v>
      </c>
    </row>
    <row r="22" spans="2:5" x14ac:dyDescent="0.35">
      <c r="B22" s="55" t="s">
        <v>866</v>
      </c>
      <c r="C22" s="55" t="s">
        <v>866</v>
      </c>
      <c r="D22" s="55" t="s">
        <v>834</v>
      </c>
      <c r="E22" s="148" t="s">
        <v>745</v>
      </c>
    </row>
    <row r="23" spans="2:5" x14ac:dyDescent="0.35">
      <c r="B23" s="55" t="s">
        <v>866</v>
      </c>
      <c r="C23" s="55" t="s">
        <v>866</v>
      </c>
      <c r="D23" s="55" t="s">
        <v>859</v>
      </c>
      <c r="E23" s="148" t="s">
        <v>745</v>
      </c>
    </row>
    <row r="24" spans="2:5" x14ac:dyDescent="0.35">
      <c r="B24" s="55" t="s">
        <v>866</v>
      </c>
      <c r="C24" s="55" t="s">
        <v>866</v>
      </c>
      <c r="D24" s="55" t="s">
        <v>850</v>
      </c>
      <c r="E24" s="148" t="s">
        <v>745</v>
      </c>
    </row>
    <row r="25" spans="2:5" x14ac:dyDescent="0.35">
      <c r="B25" s="55" t="s">
        <v>866</v>
      </c>
      <c r="C25" s="55" t="s">
        <v>866</v>
      </c>
      <c r="D25" s="55" t="s">
        <v>796</v>
      </c>
      <c r="E25" s="148" t="s">
        <v>745</v>
      </c>
    </row>
    <row r="26" spans="2:5" x14ac:dyDescent="0.35">
      <c r="B26" s="55" t="s">
        <v>866</v>
      </c>
      <c r="C26" s="55" t="s">
        <v>866</v>
      </c>
      <c r="D26" s="55" t="s">
        <v>858</v>
      </c>
      <c r="E26" s="148" t="s">
        <v>745</v>
      </c>
    </row>
    <row r="27" spans="2:5" x14ac:dyDescent="0.35">
      <c r="B27" s="55" t="s">
        <v>866</v>
      </c>
      <c r="C27" s="55" t="s">
        <v>866</v>
      </c>
      <c r="D27" s="55" t="s">
        <v>851</v>
      </c>
      <c r="E27" s="148" t="s">
        <v>745</v>
      </c>
    </row>
    <row r="28" spans="2:5" x14ac:dyDescent="0.35">
      <c r="B28" s="55" t="s">
        <v>866</v>
      </c>
      <c r="C28" s="55" t="s">
        <v>866</v>
      </c>
      <c r="D28" s="55" t="s">
        <v>852</v>
      </c>
      <c r="E28" s="148" t="s">
        <v>745</v>
      </c>
    </row>
    <row r="29" spans="2:5" x14ac:dyDescent="0.35">
      <c r="B29" s="55" t="s">
        <v>857</v>
      </c>
      <c r="C29" s="55" t="s">
        <v>857</v>
      </c>
      <c r="D29" s="55" t="s">
        <v>857</v>
      </c>
      <c r="E29" s="148" t="s">
        <v>745</v>
      </c>
    </row>
    <row r="30" spans="2:5" x14ac:dyDescent="0.35">
      <c r="B30" s="55" t="s">
        <v>867</v>
      </c>
      <c r="C30" s="55" t="s">
        <v>867</v>
      </c>
      <c r="D30" s="55" t="s">
        <v>798</v>
      </c>
      <c r="E30" s="148" t="s">
        <v>745</v>
      </c>
    </row>
    <row r="31" spans="2:5" x14ac:dyDescent="0.35">
      <c r="B31" s="55" t="s">
        <v>868</v>
      </c>
      <c r="C31" s="55" t="s">
        <v>868</v>
      </c>
      <c r="D31" s="55" t="s">
        <v>861</v>
      </c>
      <c r="E31" s="148" t="s">
        <v>745</v>
      </c>
    </row>
  </sheetData>
  <mergeCells count="4">
    <mergeCell ref="B2:B3"/>
    <mergeCell ref="C2:C3"/>
    <mergeCell ref="D2:D3"/>
    <mergeCell ref="E2:E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3C337-FE5A-49F2-8374-8697861868A9}">
  <sheetPr codeName="Hoja4"/>
  <dimension ref="A3:O110"/>
  <sheetViews>
    <sheetView workbookViewId="0">
      <selection activeCell="F23" sqref="F23"/>
    </sheetView>
  </sheetViews>
  <sheetFormatPr baseColWidth="10" defaultColWidth="11.453125" defaultRowHeight="14.5" x14ac:dyDescent="0.35"/>
  <cols>
    <col min="1" max="1" width="58.7265625" customWidth="1"/>
    <col min="9" max="10" width="0" hidden="1" customWidth="1"/>
  </cols>
  <sheetData>
    <row r="3" spans="1:15" x14ac:dyDescent="0.35">
      <c r="A3" s="19" t="s">
        <v>116</v>
      </c>
      <c r="B3" s="20"/>
      <c r="C3" s="20"/>
    </row>
    <row r="4" spans="1:15" ht="29" x14ac:dyDescent="0.35">
      <c r="A4" s="21" t="s">
        <v>117</v>
      </c>
      <c r="B4" s="20" t="s">
        <v>39</v>
      </c>
      <c r="C4" s="20">
        <v>3</v>
      </c>
      <c r="I4" s="29" t="s">
        <v>118</v>
      </c>
      <c r="J4" s="30">
        <v>4</v>
      </c>
      <c r="K4" t="str">
        <f>CONCATENATE(I4," ",J4,"%")</f>
        <v>RET FLETES 4%</v>
      </c>
      <c r="O4">
        <v>3</v>
      </c>
    </row>
    <row r="5" spans="1:15" x14ac:dyDescent="0.35">
      <c r="A5" s="22"/>
      <c r="B5" s="20" t="s">
        <v>41</v>
      </c>
      <c r="C5" s="20"/>
      <c r="I5" s="29" t="s">
        <v>119</v>
      </c>
      <c r="J5" s="30">
        <v>10</v>
      </c>
      <c r="K5" t="str">
        <f t="shared" ref="K5:K24" si="0">CONCATENATE(I5," ",J5,"%")</f>
        <v>RET ISR ARRENDAMIENTO 10%</v>
      </c>
    </row>
    <row r="6" spans="1:15" ht="29" x14ac:dyDescent="0.35">
      <c r="A6" s="21" t="s">
        <v>30</v>
      </c>
      <c r="B6" s="20"/>
      <c r="C6" s="20">
        <v>2</v>
      </c>
      <c r="I6" s="29" t="s">
        <v>120</v>
      </c>
      <c r="J6" s="30">
        <v>10</v>
      </c>
      <c r="K6" t="str">
        <f t="shared" si="0"/>
        <v>RET ISR HONORARIOS 10%</v>
      </c>
    </row>
    <row r="7" spans="1:15" x14ac:dyDescent="0.35">
      <c r="A7" s="21" t="s">
        <v>121</v>
      </c>
      <c r="B7" s="20" t="s">
        <v>39</v>
      </c>
      <c r="C7" s="20"/>
      <c r="I7" s="29" t="s">
        <v>122</v>
      </c>
      <c r="J7" s="30">
        <v>10.666700000000001</v>
      </c>
      <c r="K7" t="str">
        <f t="shared" si="0"/>
        <v>RET IVA ARRENDAMIENTO 10.6667%</v>
      </c>
    </row>
    <row r="8" spans="1:15" x14ac:dyDescent="0.35">
      <c r="A8" s="22" t="s">
        <v>31</v>
      </c>
      <c r="B8" s="20" t="s">
        <v>41</v>
      </c>
      <c r="C8" s="20"/>
      <c r="I8" s="31" t="s">
        <v>123</v>
      </c>
      <c r="J8" s="32">
        <v>10.66</v>
      </c>
      <c r="K8" t="str">
        <f t="shared" si="0"/>
        <v>RET IVA ARRENDAMIENTO 2 10.66%</v>
      </c>
    </row>
    <row r="9" spans="1:15" x14ac:dyDescent="0.35">
      <c r="A9" s="27" t="s">
        <v>124</v>
      </c>
      <c r="B9" s="20"/>
      <c r="C9" s="20"/>
      <c r="I9" s="31" t="s">
        <v>125</v>
      </c>
      <c r="J9" s="32">
        <v>10.666600000000001</v>
      </c>
      <c r="K9" t="str">
        <f t="shared" si="0"/>
        <v>RET IVA ARRENDAMIENTO 4 10.6666%</v>
      </c>
    </row>
    <row r="10" spans="1:15" ht="28" x14ac:dyDescent="0.35">
      <c r="A10" s="27" t="s">
        <v>126</v>
      </c>
      <c r="B10" s="20"/>
      <c r="C10" s="20"/>
      <c r="I10" s="31" t="s">
        <v>127</v>
      </c>
      <c r="J10" s="32">
        <v>10.667</v>
      </c>
      <c r="K10" t="str">
        <f t="shared" si="0"/>
        <v>RET IVA ARRENDAMIENTO 3 10.667%</v>
      </c>
    </row>
    <row r="11" spans="1:15" x14ac:dyDescent="0.35">
      <c r="A11" s="27" t="s">
        <v>128</v>
      </c>
      <c r="B11" s="20"/>
      <c r="C11" s="20"/>
      <c r="I11" s="31" t="s">
        <v>129</v>
      </c>
      <c r="J11" s="32">
        <v>10.67</v>
      </c>
      <c r="K11" t="str">
        <f t="shared" si="0"/>
        <v>RET IVA ARRENDAMIENTO 2R 10.67%</v>
      </c>
    </row>
    <row r="12" spans="1:15" x14ac:dyDescent="0.35">
      <c r="A12" s="27" t="s">
        <v>130</v>
      </c>
      <c r="B12" s="20"/>
      <c r="C12" s="20"/>
      <c r="I12" s="29" t="s">
        <v>131</v>
      </c>
      <c r="J12" s="30">
        <v>5.3333000000000004</v>
      </c>
      <c r="K12" t="str">
        <f t="shared" si="0"/>
        <v>RET IVA ARRENDAMIENTO FRONT 5.3333%</v>
      </c>
    </row>
    <row r="13" spans="1:15" x14ac:dyDescent="0.35">
      <c r="A13" s="27" t="s">
        <v>132</v>
      </c>
      <c r="B13" s="20"/>
      <c r="C13" s="20"/>
      <c r="I13" s="31" t="s">
        <v>133</v>
      </c>
      <c r="J13" s="32">
        <v>5.3330000000000002</v>
      </c>
      <c r="K13" t="str">
        <f t="shared" si="0"/>
        <v>RET IVA ARRENDAMIENTO FRONT 3 5.333%</v>
      </c>
    </row>
    <row r="14" spans="1:15" x14ac:dyDescent="0.35">
      <c r="A14" s="27" t="s">
        <v>134</v>
      </c>
      <c r="B14" s="20"/>
      <c r="C14" s="20"/>
      <c r="I14" s="31" t="s">
        <v>135</v>
      </c>
      <c r="J14" s="32">
        <v>5.3334000000000001</v>
      </c>
      <c r="K14" t="str">
        <f t="shared" si="0"/>
        <v>RET IVA ARRENDAMIENTO FRONT 4R 5.3334%</v>
      </c>
    </row>
    <row r="15" spans="1:15" x14ac:dyDescent="0.35">
      <c r="A15" s="27" t="s">
        <v>136</v>
      </c>
      <c r="B15" s="20"/>
      <c r="C15" s="20"/>
      <c r="I15" s="29" t="s">
        <v>137</v>
      </c>
      <c r="J15" s="30">
        <v>10.666700000000001</v>
      </c>
      <c r="K15" t="str">
        <f t="shared" si="0"/>
        <v>RET IVA HONORARIOS 10.6667%</v>
      </c>
    </row>
    <row r="16" spans="1:15" ht="28" x14ac:dyDescent="0.35">
      <c r="A16" s="27" t="s">
        <v>138</v>
      </c>
      <c r="B16" s="20"/>
      <c r="C16" s="20"/>
      <c r="I16" s="31" t="s">
        <v>139</v>
      </c>
      <c r="J16" s="32">
        <v>10.66</v>
      </c>
      <c r="K16" t="str">
        <f t="shared" si="0"/>
        <v>RET IVA HONORARIOS 2 10.66%</v>
      </c>
    </row>
    <row r="17" spans="1:11" ht="28" x14ac:dyDescent="0.35">
      <c r="A17" s="27" t="s">
        <v>140</v>
      </c>
      <c r="B17" s="20"/>
      <c r="C17" s="20"/>
      <c r="I17" s="31" t="s">
        <v>141</v>
      </c>
      <c r="J17" s="32">
        <v>10.666600000000001</v>
      </c>
      <c r="K17" t="str">
        <f t="shared" si="0"/>
        <v>RET IVA HONORARIOS 4 10.6666%</v>
      </c>
    </row>
    <row r="18" spans="1:11" ht="42" x14ac:dyDescent="0.35">
      <c r="A18" s="27" t="s">
        <v>142</v>
      </c>
      <c r="B18" s="20"/>
      <c r="C18" s="20"/>
      <c r="I18" s="31" t="s">
        <v>143</v>
      </c>
      <c r="J18" s="32">
        <v>10.667</v>
      </c>
      <c r="K18" t="str">
        <f t="shared" si="0"/>
        <v>RET IVA HONORARIOS 3 10.667%</v>
      </c>
    </row>
    <row r="19" spans="1:11" ht="28" x14ac:dyDescent="0.35">
      <c r="A19" s="27" t="s">
        <v>144</v>
      </c>
      <c r="B19" s="20"/>
      <c r="C19" s="20"/>
      <c r="I19" s="31" t="s">
        <v>145</v>
      </c>
      <c r="J19" s="32">
        <v>10.67</v>
      </c>
      <c r="K19" t="str">
        <f t="shared" si="0"/>
        <v>RET IVA HONORARIOS 2R 10.67%</v>
      </c>
    </row>
    <row r="20" spans="1:11" ht="42" x14ac:dyDescent="0.35">
      <c r="A20" s="27" t="s">
        <v>146</v>
      </c>
      <c r="B20" s="20"/>
      <c r="C20" s="20"/>
      <c r="I20" s="29" t="s">
        <v>147</v>
      </c>
      <c r="J20" s="30">
        <v>5.3333000000000004</v>
      </c>
      <c r="K20" t="str">
        <f t="shared" si="0"/>
        <v>RET IVA HONORARIOS FRONT 5.3333%</v>
      </c>
    </row>
    <row r="21" spans="1:11" x14ac:dyDescent="0.35">
      <c r="A21" s="27" t="s">
        <v>148</v>
      </c>
      <c r="B21" s="20"/>
      <c r="C21" s="20"/>
      <c r="I21" s="31" t="s">
        <v>149</v>
      </c>
      <c r="J21" s="32">
        <v>5.3330000000000002</v>
      </c>
      <c r="K21" t="str">
        <f t="shared" si="0"/>
        <v>RET IVA HONORARIOS FRONT 3 5.333%</v>
      </c>
    </row>
    <row r="22" spans="1:11" ht="28" x14ac:dyDescent="0.35">
      <c r="A22" s="27" t="s">
        <v>150</v>
      </c>
      <c r="B22" s="20"/>
      <c r="C22" s="20"/>
      <c r="I22" s="31" t="s">
        <v>151</v>
      </c>
      <c r="J22" s="32">
        <v>5.3334000000000001</v>
      </c>
      <c r="K22" t="str">
        <f t="shared" si="0"/>
        <v>RET IVA HONORARIOS FRONT 4R 5.3334%</v>
      </c>
    </row>
    <row r="23" spans="1:11" ht="28" x14ac:dyDescent="0.35">
      <c r="A23" s="27" t="s">
        <v>152</v>
      </c>
      <c r="B23" s="20"/>
      <c r="C23" s="20"/>
      <c r="I23" s="29" t="s">
        <v>153</v>
      </c>
      <c r="J23" s="30">
        <v>6</v>
      </c>
      <c r="K23" t="str">
        <f t="shared" si="0"/>
        <v>RET IVA SUBROGACION 6%</v>
      </c>
    </row>
    <row r="24" spans="1:11" ht="28" x14ac:dyDescent="0.35">
      <c r="A24" s="27" t="s">
        <v>154</v>
      </c>
      <c r="B24" s="20"/>
      <c r="C24" s="20"/>
      <c r="I24" s="29" t="s">
        <v>155</v>
      </c>
      <c r="J24" s="30">
        <v>3</v>
      </c>
      <c r="K24" t="str">
        <f t="shared" si="0"/>
        <v>RET IVA SUBROGACION FRONT 3%</v>
      </c>
    </row>
    <row r="25" spans="1:11" x14ac:dyDescent="0.35">
      <c r="A25" s="27" t="s">
        <v>156</v>
      </c>
      <c r="B25" s="20"/>
      <c r="C25" s="20"/>
    </row>
    <row r="26" spans="1:11" ht="28" x14ac:dyDescent="0.35">
      <c r="A26" s="27" t="s">
        <v>157</v>
      </c>
      <c r="B26" s="20"/>
      <c r="C26" s="20"/>
    </row>
    <row r="27" spans="1:11" ht="28" x14ac:dyDescent="0.35">
      <c r="A27" s="27" t="s">
        <v>158</v>
      </c>
      <c r="B27" s="20"/>
      <c r="C27" s="20"/>
    </row>
    <row r="28" spans="1:11" ht="28" x14ac:dyDescent="0.35">
      <c r="A28" s="27" t="s">
        <v>159</v>
      </c>
      <c r="B28" s="20"/>
      <c r="C28" s="20"/>
    </row>
    <row r="29" spans="1:11" ht="28" x14ac:dyDescent="0.35">
      <c r="A29" s="27" t="s">
        <v>160</v>
      </c>
      <c r="B29" s="20"/>
      <c r="C29" s="20"/>
    </row>
    <row r="30" spans="1:11" ht="28" x14ac:dyDescent="0.35">
      <c r="A30" s="27" t="s">
        <v>161</v>
      </c>
      <c r="B30" s="20"/>
      <c r="C30" s="20"/>
    </row>
    <row r="31" spans="1:11" ht="28" x14ac:dyDescent="0.35">
      <c r="A31" s="27" t="s">
        <v>162</v>
      </c>
      <c r="B31" s="20"/>
      <c r="C31" s="20"/>
    </row>
    <row r="32" spans="1:11" x14ac:dyDescent="0.35">
      <c r="A32" s="27" t="s">
        <v>163</v>
      </c>
      <c r="B32" s="20"/>
      <c r="C32" s="20"/>
    </row>
    <row r="33" spans="1:3" x14ac:dyDescent="0.35">
      <c r="A33" s="27" t="s">
        <v>164</v>
      </c>
      <c r="B33" s="20"/>
      <c r="C33" s="20"/>
    </row>
    <row r="34" spans="1:3" x14ac:dyDescent="0.35">
      <c r="A34" s="27" t="s">
        <v>165</v>
      </c>
      <c r="B34" s="20"/>
      <c r="C34" s="20"/>
    </row>
    <row r="35" spans="1:3" ht="28" x14ac:dyDescent="0.35">
      <c r="A35" s="27" t="s">
        <v>166</v>
      </c>
      <c r="B35" s="20"/>
      <c r="C35" s="20"/>
    </row>
    <row r="36" spans="1:3" ht="42" x14ac:dyDescent="0.35">
      <c r="A36" s="27" t="s">
        <v>167</v>
      </c>
      <c r="B36" s="20"/>
      <c r="C36" s="20"/>
    </row>
    <row r="37" spans="1:3" x14ac:dyDescent="0.35">
      <c r="A37" s="27" t="s">
        <v>168</v>
      </c>
      <c r="B37" s="20"/>
      <c r="C37" s="20"/>
    </row>
    <row r="38" spans="1:3" x14ac:dyDescent="0.35">
      <c r="A38" s="27" t="s">
        <v>169</v>
      </c>
      <c r="B38" s="20"/>
      <c r="C38" s="20"/>
    </row>
    <row r="39" spans="1:3" ht="28" x14ac:dyDescent="0.35">
      <c r="A39" s="27" t="s">
        <v>170</v>
      </c>
      <c r="B39" s="20"/>
      <c r="C39" s="20"/>
    </row>
    <row r="40" spans="1:3" ht="42" x14ac:dyDescent="0.35">
      <c r="A40" s="27" t="s">
        <v>171</v>
      </c>
      <c r="B40" s="20"/>
      <c r="C40" s="20"/>
    </row>
    <row r="41" spans="1:3" x14ac:dyDescent="0.35">
      <c r="A41" s="27" t="s">
        <v>172</v>
      </c>
      <c r="B41" s="20"/>
      <c r="C41" s="20"/>
    </row>
    <row r="42" spans="1:3" x14ac:dyDescent="0.35">
      <c r="A42" s="27" t="s">
        <v>173</v>
      </c>
      <c r="B42" s="20"/>
      <c r="C42" s="20"/>
    </row>
    <row r="43" spans="1:3" x14ac:dyDescent="0.35">
      <c r="A43" s="27" t="s">
        <v>174</v>
      </c>
      <c r="B43" s="20"/>
      <c r="C43" s="20"/>
    </row>
    <row r="44" spans="1:3" x14ac:dyDescent="0.35">
      <c r="A44" s="27" t="s">
        <v>175</v>
      </c>
      <c r="B44" s="20"/>
      <c r="C44" s="20"/>
    </row>
    <row r="45" spans="1:3" x14ac:dyDescent="0.35">
      <c r="A45" s="27" t="s">
        <v>176</v>
      </c>
      <c r="B45" s="20"/>
      <c r="C45" s="20"/>
    </row>
    <row r="46" spans="1:3" x14ac:dyDescent="0.35">
      <c r="A46" s="27" t="s">
        <v>177</v>
      </c>
      <c r="B46" s="20"/>
      <c r="C46" s="20"/>
    </row>
    <row r="47" spans="1:3" x14ac:dyDescent="0.35">
      <c r="A47" s="27" t="s">
        <v>178</v>
      </c>
      <c r="B47" s="20"/>
      <c r="C47" s="20"/>
    </row>
    <row r="48" spans="1:3" x14ac:dyDescent="0.35">
      <c r="A48" s="27" t="s">
        <v>179</v>
      </c>
      <c r="B48" s="20"/>
      <c r="C48" s="20"/>
    </row>
    <row r="49" spans="1:3" x14ac:dyDescent="0.35">
      <c r="A49" s="27" t="s">
        <v>180</v>
      </c>
      <c r="B49" s="20"/>
      <c r="C49" s="20"/>
    </row>
    <row r="50" spans="1:3" ht="42" x14ac:dyDescent="0.35">
      <c r="A50" s="27" t="s">
        <v>181</v>
      </c>
      <c r="B50" s="20"/>
      <c r="C50" s="20"/>
    </row>
    <row r="51" spans="1:3" x14ac:dyDescent="0.35">
      <c r="A51" s="27" t="s">
        <v>182</v>
      </c>
      <c r="B51" s="20"/>
      <c r="C51" s="20"/>
    </row>
    <row r="52" spans="1:3" x14ac:dyDescent="0.35">
      <c r="A52" s="27" t="s">
        <v>183</v>
      </c>
      <c r="B52" s="20"/>
      <c r="C52" s="20"/>
    </row>
    <row r="53" spans="1:3" x14ac:dyDescent="0.35">
      <c r="A53" s="27" t="s">
        <v>184</v>
      </c>
      <c r="B53" s="20"/>
      <c r="C53" s="20"/>
    </row>
    <row r="54" spans="1:3" x14ac:dyDescent="0.35">
      <c r="A54" s="27" t="s">
        <v>185</v>
      </c>
      <c r="B54" s="20"/>
      <c r="C54" s="20"/>
    </row>
    <row r="55" spans="1:3" x14ac:dyDescent="0.35">
      <c r="A55" s="27" t="s">
        <v>186</v>
      </c>
      <c r="B55" s="20"/>
      <c r="C55" s="20"/>
    </row>
    <row r="56" spans="1:3" x14ac:dyDescent="0.35">
      <c r="A56" s="27" t="s">
        <v>187</v>
      </c>
      <c r="B56" s="20"/>
      <c r="C56" s="20"/>
    </row>
    <row r="57" spans="1:3" x14ac:dyDescent="0.35">
      <c r="A57" s="27" t="s">
        <v>188</v>
      </c>
      <c r="B57" s="20"/>
      <c r="C57" s="20"/>
    </row>
    <row r="58" spans="1:3" x14ac:dyDescent="0.35">
      <c r="A58" s="27" t="s">
        <v>189</v>
      </c>
      <c r="B58" s="20"/>
      <c r="C58" s="20"/>
    </row>
    <row r="59" spans="1:3" x14ac:dyDescent="0.35">
      <c r="A59" s="27" t="s">
        <v>190</v>
      </c>
      <c r="B59" s="20"/>
      <c r="C59" s="20"/>
    </row>
    <row r="60" spans="1:3" x14ac:dyDescent="0.35">
      <c r="A60" s="27" t="s">
        <v>191</v>
      </c>
      <c r="B60" s="20"/>
      <c r="C60" s="20"/>
    </row>
    <row r="61" spans="1:3" x14ac:dyDescent="0.35">
      <c r="A61" s="27" t="s">
        <v>192</v>
      </c>
      <c r="B61" s="20"/>
      <c r="C61" s="20"/>
    </row>
    <row r="62" spans="1:3" ht="28" x14ac:dyDescent="0.35">
      <c r="A62" s="27" t="s">
        <v>193</v>
      </c>
      <c r="B62" s="20"/>
      <c r="C62" s="20"/>
    </row>
    <row r="63" spans="1:3" x14ac:dyDescent="0.35">
      <c r="A63" s="27" t="s">
        <v>194</v>
      </c>
      <c r="B63" s="20"/>
      <c r="C63" s="20"/>
    </row>
    <row r="64" spans="1:3" x14ac:dyDescent="0.35">
      <c r="A64" s="27" t="s">
        <v>195</v>
      </c>
      <c r="B64" s="20"/>
      <c r="C64" s="20"/>
    </row>
    <row r="65" spans="1:3" x14ac:dyDescent="0.35">
      <c r="A65" s="27" t="s">
        <v>196</v>
      </c>
      <c r="B65" s="20"/>
      <c r="C65" s="20"/>
    </row>
    <row r="66" spans="1:3" ht="28" x14ac:dyDescent="0.35">
      <c r="A66" s="27" t="s">
        <v>197</v>
      </c>
      <c r="B66" s="20"/>
      <c r="C66" s="20"/>
    </row>
    <row r="67" spans="1:3" x14ac:dyDescent="0.35">
      <c r="A67" s="27" t="s">
        <v>198</v>
      </c>
      <c r="B67" s="20"/>
      <c r="C67" s="20"/>
    </row>
    <row r="68" spans="1:3" x14ac:dyDescent="0.35">
      <c r="A68" s="27" t="s">
        <v>199</v>
      </c>
      <c r="B68" s="20"/>
      <c r="C68" s="20"/>
    </row>
    <row r="69" spans="1:3" x14ac:dyDescent="0.35">
      <c r="A69" s="27" t="s">
        <v>200</v>
      </c>
      <c r="B69" s="20"/>
      <c r="C69" s="20"/>
    </row>
    <row r="70" spans="1:3" x14ac:dyDescent="0.35">
      <c r="A70" s="27" t="s">
        <v>201</v>
      </c>
      <c r="B70" s="20"/>
      <c r="C70" s="20"/>
    </row>
    <row r="71" spans="1:3" x14ac:dyDescent="0.35">
      <c r="A71" s="27" t="s">
        <v>202</v>
      </c>
      <c r="B71" s="20"/>
      <c r="C71" s="20"/>
    </row>
    <row r="72" spans="1:3" x14ac:dyDescent="0.35">
      <c r="A72" s="27" t="s">
        <v>203</v>
      </c>
      <c r="B72" s="20"/>
      <c r="C72" s="20"/>
    </row>
    <row r="73" spans="1:3" ht="28" x14ac:dyDescent="0.35">
      <c r="A73" s="27" t="s">
        <v>204</v>
      </c>
      <c r="B73" s="20"/>
      <c r="C73" s="20"/>
    </row>
    <row r="74" spans="1:3" x14ac:dyDescent="0.35">
      <c r="A74" s="27" t="s">
        <v>205</v>
      </c>
      <c r="B74" s="20"/>
      <c r="C74" s="20"/>
    </row>
    <row r="75" spans="1:3" x14ac:dyDescent="0.35">
      <c r="A75" s="27" t="s">
        <v>206</v>
      </c>
      <c r="B75" s="20"/>
      <c r="C75" s="20"/>
    </row>
    <row r="76" spans="1:3" x14ac:dyDescent="0.35">
      <c r="A76" s="27" t="s">
        <v>207</v>
      </c>
      <c r="B76" s="20"/>
      <c r="C76" s="20"/>
    </row>
    <row r="77" spans="1:3" ht="28" x14ac:dyDescent="0.35">
      <c r="A77" s="27" t="s">
        <v>208</v>
      </c>
      <c r="B77" s="20"/>
      <c r="C77" s="20"/>
    </row>
    <row r="78" spans="1:3" x14ac:dyDescent="0.35">
      <c r="A78" s="27" t="s">
        <v>209</v>
      </c>
      <c r="B78" s="20"/>
      <c r="C78" s="20"/>
    </row>
    <row r="79" spans="1:3" x14ac:dyDescent="0.35">
      <c r="A79" s="27" t="s">
        <v>210</v>
      </c>
      <c r="B79" s="20"/>
      <c r="C79" s="20"/>
    </row>
    <row r="80" spans="1:3" x14ac:dyDescent="0.35">
      <c r="A80" s="27" t="s">
        <v>211</v>
      </c>
      <c r="B80" s="20"/>
      <c r="C80" s="20"/>
    </row>
    <row r="81" spans="1:3" ht="28" x14ac:dyDescent="0.35">
      <c r="A81" s="27" t="s">
        <v>212</v>
      </c>
      <c r="B81" s="20"/>
      <c r="C81" s="20"/>
    </row>
    <row r="82" spans="1:3" x14ac:dyDescent="0.35">
      <c r="A82" s="27" t="s">
        <v>213</v>
      </c>
      <c r="B82" s="20"/>
      <c r="C82" s="20"/>
    </row>
    <row r="83" spans="1:3" ht="28" x14ac:dyDescent="0.35">
      <c r="A83" s="27" t="s">
        <v>214</v>
      </c>
      <c r="B83" s="20"/>
      <c r="C83" s="20"/>
    </row>
    <row r="84" spans="1:3" x14ac:dyDescent="0.35">
      <c r="A84" s="27" t="s">
        <v>215</v>
      </c>
      <c r="B84" s="20"/>
      <c r="C84" s="20"/>
    </row>
    <row r="85" spans="1:3" x14ac:dyDescent="0.35">
      <c r="A85" s="27" t="s">
        <v>216</v>
      </c>
      <c r="B85" s="20"/>
      <c r="C85" s="20"/>
    </row>
    <row r="86" spans="1:3" x14ac:dyDescent="0.35">
      <c r="A86" s="27" t="s">
        <v>217</v>
      </c>
      <c r="B86" s="20"/>
      <c r="C86" s="20"/>
    </row>
    <row r="87" spans="1:3" x14ac:dyDescent="0.35">
      <c r="A87" s="27" t="s">
        <v>218</v>
      </c>
      <c r="B87" s="20"/>
      <c r="C87" s="20"/>
    </row>
    <row r="88" spans="1:3" x14ac:dyDescent="0.35">
      <c r="A88" s="27" t="s">
        <v>219</v>
      </c>
      <c r="B88" s="20"/>
      <c r="C88" s="20"/>
    </row>
    <row r="89" spans="1:3" x14ac:dyDescent="0.35">
      <c r="A89" s="27" t="s">
        <v>220</v>
      </c>
      <c r="B89" s="20"/>
      <c r="C89" s="20"/>
    </row>
    <row r="90" spans="1:3" x14ac:dyDescent="0.35">
      <c r="A90" s="27" t="s">
        <v>221</v>
      </c>
      <c r="B90" s="20"/>
      <c r="C90" s="20"/>
    </row>
    <row r="91" spans="1:3" x14ac:dyDescent="0.35">
      <c r="A91" s="27" t="s">
        <v>222</v>
      </c>
      <c r="B91" s="20"/>
      <c r="C91" s="20"/>
    </row>
    <row r="92" spans="1:3" x14ac:dyDescent="0.35">
      <c r="A92" s="27" t="s">
        <v>223</v>
      </c>
      <c r="B92" s="20"/>
      <c r="C92" s="20"/>
    </row>
    <row r="93" spans="1:3" x14ac:dyDescent="0.35">
      <c r="A93" s="27" t="s">
        <v>224</v>
      </c>
      <c r="B93" s="20"/>
      <c r="C93" s="20"/>
    </row>
    <row r="94" spans="1:3" x14ac:dyDescent="0.35">
      <c r="A94" s="27" t="s">
        <v>225</v>
      </c>
      <c r="B94" s="20"/>
      <c r="C94" s="20"/>
    </row>
    <row r="95" spans="1:3" x14ac:dyDescent="0.35">
      <c r="A95" s="27" t="s">
        <v>226</v>
      </c>
      <c r="B95" s="20"/>
      <c r="C95" s="20"/>
    </row>
    <row r="96" spans="1:3" ht="28" x14ac:dyDescent="0.35">
      <c r="A96" s="27" t="s">
        <v>227</v>
      </c>
      <c r="B96" s="20"/>
      <c r="C96" s="20"/>
    </row>
    <row r="97" spans="1:3" ht="28" x14ac:dyDescent="0.35">
      <c r="A97" s="27" t="s">
        <v>228</v>
      </c>
      <c r="B97" s="20"/>
      <c r="C97" s="20"/>
    </row>
    <row r="98" spans="1:3" x14ac:dyDescent="0.35">
      <c r="A98" s="27" t="s">
        <v>229</v>
      </c>
      <c r="B98" s="20"/>
      <c r="C98" s="20"/>
    </row>
    <row r="99" spans="1:3" x14ac:dyDescent="0.35">
      <c r="A99" s="27" t="s">
        <v>230</v>
      </c>
      <c r="B99" s="20"/>
      <c r="C99" s="20"/>
    </row>
    <row r="100" spans="1:3" x14ac:dyDescent="0.35">
      <c r="A100" s="27" t="s">
        <v>231</v>
      </c>
      <c r="B100" s="20"/>
      <c r="C100" s="20"/>
    </row>
    <row r="101" spans="1:3" x14ac:dyDescent="0.35">
      <c r="A101" s="27" t="s">
        <v>232</v>
      </c>
      <c r="B101" s="20"/>
      <c r="C101" s="20"/>
    </row>
    <row r="102" spans="1:3" x14ac:dyDescent="0.35">
      <c r="A102" s="27" t="s">
        <v>233</v>
      </c>
      <c r="B102" s="20"/>
      <c r="C102" s="20"/>
    </row>
    <row r="103" spans="1:3" x14ac:dyDescent="0.35">
      <c r="A103" s="27" t="s">
        <v>234</v>
      </c>
      <c r="B103" s="20"/>
      <c r="C103" s="20"/>
    </row>
    <row r="104" spans="1:3" x14ac:dyDescent="0.35">
      <c r="A104" s="27" t="s">
        <v>235</v>
      </c>
      <c r="B104" s="20"/>
      <c r="C104" s="20"/>
    </row>
    <row r="105" spans="1:3" x14ac:dyDescent="0.35">
      <c r="A105" s="27" t="s">
        <v>236</v>
      </c>
      <c r="B105" s="20"/>
      <c r="C105" s="20"/>
    </row>
    <row r="106" spans="1:3" ht="58" x14ac:dyDescent="0.35">
      <c r="A106" s="23" t="s">
        <v>237</v>
      </c>
      <c r="B106" s="20" t="s">
        <v>39</v>
      </c>
      <c r="C106" s="20"/>
    </row>
    <row r="107" spans="1:3" x14ac:dyDescent="0.35">
      <c r="A107" s="20"/>
      <c r="B107" s="20" t="s">
        <v>41</v>
      </c>
      <c r="C107" s="20"/>
    </row>
    <row r="108" spans="1:3" x14ac:dyDescent="0.35">
      <c r="A108" s="24" t="s">
        <v>33</v>
      </c>
      <c r="B108" s="20"/>
      <c r="C108" s="20"/>
    </row>
    <row r="109" spans="1:3" x14ac:dyDescent="0.35">
      <c r="A109" s="25" t="s">
        <v>238</v>
      </c>
      <c r="B109" s="20"/>
      <c r="C109" s="20"/>
    </row>
    <row r="110" spans="1:3" x14ac:dyDescent="0.35">
      <c r="A110" s="26" t="s">
        <v>34</v>
      </c>
      <c r="B110" s="20" t="s">
        <v>239</v>
      </c>
      <c r="C110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SIBAF PROVEEDOR NACIONAL</vt:lpstr>
      <vt:lpstr>Hoja1</vt:lpstr>
      <vt:lpstr>SIBAF PROVEEDOR EXTRANJERO</vt:lpstr>
      <vt:lpstr>ORACLE PROVEEDORES</vt:lpstr>
      <vt:lpstr>CAT ORACLE</vt:lpstr>
      <vt:lpstr>Empresa</vt:lpstr>
      <vt:lpstr>Tipo de Moneda</vt:lpstr>
      <vt:lpstr>5-CATALOGO</vt:lpstr>
      <vt:lpstr>Tipo de Personalidad</vt:lpstr>
      <vt:lpstr>Impuesto Recurrente</vt:lpstr>
      <vt:lpstr>BANCOS NACIONALES</vt:lpstr>
      <vt:lpstr>Metodos Pago</vt:lpstr>
      <vt:lpstr>Tipo de tercero</vt:lpstr>
      <vt:lpstr>Tipo de operacion</vt:lpstr>
      <vt:lpstr>CONCEPTO ISR_DEDUCCION</vt:lpstr>
      <vt:lpstr>DECLARACION_ANUAL_DEDUCCION</vt:lpstr>
      <vt:lpstr>PREGUNTAS REPSE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Borboa Huaracha</dc:creator>
  <cp:keywords/>
  <dc:description/>
  <cp:lastModifiedBy>Carolina Borboa Huaracha</cp:lastModifiedBy>
  <cp:revision/>
  <dcterms:created xsi:type="dcterms:W3CDTF">2022-03-25T00:17:22Z</dcterms:created>
  <dcterms:modified xsi:type="dcterms:W3CDTF">2022-04-12T00:45:58Z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